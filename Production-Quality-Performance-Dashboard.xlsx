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Project Upload GitHub\Production-Quality-Performance-Dashboard\"/>
    </mc:Choice>
  </mc:AlternateContent>
  <xr:revisionPtr revIDLastSave="0" documentId="13_ncr:1_{5BA95D55-CA7C-4E14-BAB1-E6B0A3163056}" xr6:coauthVersionLast="47" xr6:coauthVersionMax="47" xr10:uidLastSave="{00000000-0000-0000-0000-000000000000}"/>
  <bookViews>
    <workbookView xWindow="-120" yWindow="-120" windowWidth="20730" windowHeight="11040" firstSheet="1" activeTab="7" xr2:uid="{00000000-000D-0000-FFFF-FFFF00000000}"/>
  </bookViews>
  <sheets>
    <sheet name="Project Brief &amp; Guide" sheetId="1" state="hidden" r:id="rId1"/>
    <sheet name="Production Data Tracking" sheetId="2" r:id="rId2"/>
    <sheet name="Detail1" sheetId="6" state="hidden" r:id="rId3"/>
    <sheet name="Detail2" sheetId="7" state="hidden" r:id="rId4"/>
    <sheet name="Detail3" sheetId="8" state="hidden" r:id="rId5"/>
    <sheet name="Detail4" sheetId="9" state="hidden" r:id="rId6"/>
    <sheet name="Pivot" sheetId="3" r:id="rId7"/>
    <sheet name="Dashboard" sheetId="5" r:id="rId8"/>
  </sheets>
  <definedNames>
    <definedName name="NativeTimeline_Date">#N/A</definedName>
    <definedName name="_xlnm.Print_Area" localSheetId="7">Dashboard!$A$1:$AD$56</definedName>
    <definedName name="Slicer_Primary_Defect_Type">#N/A</definedName>
    <definedName name="Slicer_Production_Line">#N/A</definedName>
  </definedNames>
  <calcPr calcId="191029"/>
  <pivotCaches>
    <pivotCache cacheId="1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3" i="3" l="1"/>
  <c r="M13" i="3"/>
  <c r="B29" i="3"/>
  <c r="B31" i="3"/>
  <c r="A31" i="3"/>
  <c r="K17" i="3"/>
  <c r="J17"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N182" i="2"/>
  <c r="M182" i="2"/>
  <c r="N181" i="2"/>
  <c r="M181" i="2"/>
  <c r="N180" i="2"/>
  <c r="M180" i="2"/>
  <c r="N179" i="2"/>
  <c r="M179" i="2"/>
  <c r="N178" i="2"/>
  <c r="M178" i="2"/>
  <c r="N177" i="2"/>
  <c r="M177" i="2"/>
  <c r="N176" i="2"/>
  <c r="M176" i="2"/>
  <c r="N175" i="2"/>
  <c r="M175" i="2"/>
  <c r="N174" i="2"/>
  <c r="M174" i="2"/>
  <c r="N173" i="2"/>
  <c r="M173" i="2"/>
  <c r="N172" i="2"/>
  <c r="M172" i="2"/>
  <c r="N171" i="2"/>
  <c r="M171" i="2"/>
  <c r="N170" i="2"/>
  <c r="M170" i="2"/>
  <c r="N169" i="2"/>
  <c r="M169" i="2"/>
  <c r="N168" i="2"/>
  <c r="M168" i="2"/>
  <c r="N167" i="2"/>
  <c r="M167" i="2"/>
  <c r="N166" i="2"/>
  <c r="M166" i="2"/>
  <c r="N165" i="2"/>
  <c r="M165" i="2"/>
  <c r="N164" i="2"/>
  <c r="M164" i="2"/>
  <c r="N163" i="2"/>
  <c r="M163" i="2"/>
  <c r="N162" i="2"/>
  <c r="M162" i="2"/>
  <c r="N161" i="2"/>
  <c r="M161" i="2"/>
  <c r="N160" i="2"/>
  <c r="M160" i="2"/>
  <c r="N159" i="2"/>
  <c r="M159" i="2"/>
  <c r="N158" i="2"/>
  <c r="M158" i="2"/>
  <c r="N157" i="2"/>
  <c r="M157" i="2"/>
  <c r="N156" i="2"/>
  <c r="M156" i="2"/>
  <c r="N155" i="2"/>
  <c r="M155" i="2"/>
  <c r="N154" i="2"/>
  <c r="M154" i="2"/>
  <c r="N153" i="2"/>
  <c r="M153" i="2"/>
  <c r="N152" i="2"/>
  <c r="M152" i="2"/>
  <c r="N151" i="2"/>
  <c r="M151" i="2"/>
  <c r="N150" i="2"/>
  <c r="M150" i="2"/>
  <c r="N149" i="2"/>
  <c r="M149" i="2"/>
  <c r="N148" i="2"/>
  <c r="M148" i="2"/>
  <c r="N147" i="2"/>
  <c r="M147" i="2"/>
  <c r="N146" i="2"/>
  <c r="M146" i="2"/>
  <c r="N145" i="2"/>
  <c r="M145" i="2"/>
  <c r="N144" i="2"/>
  <c r="M144" i="2"/>
  <c r="N143" i="2"/>
  <c r="M143" i="2"/>
  <c r="N142" i="2"/>
  <c r="M142" i="2"/>
  <c r="N141" i="2"/>
  <c r="M141" i="2"/>
  <c r="N140" i="2"/>
  <c r="M140" i="2"/>
  <c r="N139" i="2"/>
  <c r="M139" i="2"/>
  <c r="N138" i="2"/>
  <c r="M138" i="2"/>
  <c r="N137" i="2"/>
  <c r="M137" i="2"/>
  <c r="N136" i="2"/>
  <c r="M136" i="2"/>
  <c r="N135" i="2"/>
  <c r="M135" i="2"/>
  <c r="N134" i="2"/>
  <c r="M134" i="2"/>
  <c r="N133" i="2"/>
  <c r="M133" i="2"/>
  <c r="N132" i="2"/>
  <c r="M132" i="2"/>
  <c r="N131" i="2"/>
  <c r="M131" i="2"/>
  <c r="N130" i="2"/>
  <c r="M130" i="2"/>
  <c r="N129" i="2"/>
  <c r="M129" i="2"/>
  <c r="N128" i="2"/>
  <c r="M128" i="2"/>
  <c r="N127" i="2"/>
  <c r="M127" i="2"/>
  <c r="N126" i="2"/>
  <c r="M126" i="2"/>
  <c r="N125" i="2"/>
  <c r="M125" i="2"/>
  <c r="N124" i="2"/>
  <c r="M124" i="2"/>
  <c r="N123" i="2"/>
  <c r="M123" i="2"/>
  <c r="N122" i="2"/>
  <c r="M122" i="2"/>
  <c r="N121" i="2"/>
  <c r="M121" i="2"/>
  <c r="N120" i="2"/>
  <c r="M120" i="2"/>
  <c r="N119" i="2"/>
  <c r="M119" i="2"/>
  <c r="N118" i="2"/>
  <c r="M118" i="2"/>
  <c r="N117" i="2"/>
  <c r="M117" i="2"/>
  <c r="N116" i="2"/>
  <c r="M116" i="2"/>
  <c r="N115" i="2"/>
  <c r="M115" i="2"/>
  <c r="N114" i="2"/>
  <c r="M114" i="2"/>
  <c r="N113" i="2"/>
  <c r="M113" i="2"/>
  <c r="N112" i="2"/>
  <c r="M112" i="2"/>
  <c r="N111" i="2"/>
  <c r="M111" i="2"/>
  <c r="N110" i="2"/>
  <c r="M110" i="2"/>
  <c r="N109" i="2"/>
  <c r="M109" i="2"/>
  <c r="N108" i="2"/>
  <c r="M108" i="2"/>
  <c r="N107" i="2"/>
  <c r="M107" i="2"/>
  <c r="N106" i="2"/>
  <c r="M106" i="2"/>
  <c r="N105" i="2"/>
  <c r="M105" i="2"/>
  <c r="N104" i="2"/>
  <c r="M104" i="2"/>
  <c r="N103" i="2"/>
  <c r="M103" i="2"/>
  <c r="N102" i="2"/>
  <c r="M102" i="2"/>
  <c r="N101" i="2"/>
  <c r="M101" i="2"/>
  <c r="N100" i="2"/>
  <c r="M100" i="2"/>
  <c r="N99" i="2"/>
  <c r="M99" i="2"/>
  <c r="N98" i="2"/>
  <c r="M98" i="2"/>
  <c r="N97" i="2"/>
  <c r="M97" i="2"/>
  <c r="N96" i="2"/>
  <c r="M96" i="2"/>
  <c r="N95" i="2"/>
  <c r="M95" i="2"/>
  <c r="N94" i="2"/>
  <c r="M94" i="2"/>
  <c r="N93" i="2"/>
  <c r="M93" i="2"/>
  <c r="N92" i="2"/>
  <c r="M92" i="2"/>
  <c r="N91" i="2"/>
  <c r="M91" i="2"/>
  <c r="N90" i="2"/>
  <c r="M90" i="2"/>
  <c r="N89" i="2"/>
  <c r="M89" i="2"/>
  <c r="N88" i="2"/>
  <c r="M88" i="2"/>
  <c r="N87" i="2"/>
  <c r="M87" i="2"/>
  <c r="N86" i="2"/>
  <c r="M86" i="2"/>
  <c r="N85" i="2"/>
  <c r="M85" i="2"/>
  <c r="N84" i="2"/>
  <c r="M84" i="2"/>
  <c r="N83" i="2"/>
  <c r="M83" i="2"/>
  <c r="N82" i="2"/>
  <c r="M82" i="2"/>
  <c r="N81" i="2"/>
  <c r="M81" i="2"/>
  <c r="N80" i="2"/>
  <c r="M80" i="2"/>
  <c r="N79" i="2"/>
  <c r="M79" i="2"/>
  <c r="N78" i="2"/>
  <c r="M78" i="2"/>
  <c r="N77" i="2"/>
  <c r="M77" i="2"/>
  <c r="N76" i="2"/>
  <c r="M76" i="2"/>
  <c r="N75" i="2"/>
  <c r="M75" i="2"/>
  <c r="N74" i="2"/>
  <c r="M74" i="2"/>
  <c r="N73" i="2"/>
  <c r="M73" i="2"/>
  <c r="N72" i="2"/>
  <c r="M72" i="2"/>
  <c r="N71" i="2"/>
  <c r="M71" i="2"/>
  <c r="N70" i="2"/>
  <c r="M70" i="2"/>
  <c r="N69" i="2"/>
  <c r="M69" i="2"/>
  <c r="N68" i="2"/>
  <c r="M68" i="2"/>
  <c r="N67" i="2"/>
  <c r="M67" i="2"/>
  <c r="N66" i="2"/>
  <c r="M66" i="2"/>
  <c r="N65" i="2"/>
  <c r="M65" i="2"/>
  <c r="N64" i="2"/>
  <c r="M64" i="2"/>
  <c r="N63" i="2"/>
  <c r="M63" i="2"/>
  <c r="N62" i="2"/>
  <c r="M62" i="2"/>
  <c r="N61" i="2"/>
  <c r="M61" i="2"/>
  <c r="N60" i="2"/>
  <c r="M60" i="2"/>
  <c r="N59" i="2"/>
  <c r="M59" i="2"/>
  <c r="N58" i="2"/>
  <c r="M58" i="2"/>
  <c r="N57" i="2"/>
  <c r="M57" i="2"/>
  <c r="N56" i="2"/>
  <c r="M56" i="2"/>
  <c r="N55" i="2"/>
  <c r="M55" i="2"/>
  <c r="N54" i="2"/>
  <c r="M54" i="2"/>
  <c r="N53" i="2"/>
  <c r="M53" i="2"/>
  <c r="N52" i="2"/>
  <c r="M52" i="2"/>
  <c r="N51" i="2"/>
  <c r="M51" i="2"/>
  <c r="N50" i="2"/>
  <c r="M50" i="2"/>
  <c r="N49" i="2"/>
  <c r="M49" i="2"/>
  <c r="N48" i="2"/>
  <c r="M48" i="2"/>
  <c r="N47" i="2"/>
  <c r="M47" i="2"/>
  <c r="N46" i="2"/>
  <c r="M46" i="2"/>
  <c r="N45" i="2"/>
  <c r="M45" i="2"/>
  <c r="N44" i="2"/>
  <c r="M44" i="2"/>
  <c r="N43" i="2"/>
  <c r="M43" i="2"/>
  <c r="N42" i="2"/>
  <c r="M42" i="2"/>
  <c r="N41" i="2"/>
  <c r="M41" i="2"/>
  <c r="N40" i="2"/>
  <c r="M40" i="2"/>
  <c r="N39" i="2"/>
  <c r="M39" i="2"/>
  <c r="N38" i="2"/>
  <c r="M38" i="2"/>
  <c r="N37" i="2"/>
  <c r="M37" i="2"/>
  <c r="N36" i="2"/>
  <c r="M36" i="2"/>
  <c r="N35" i="2"/>
  <c r="M35" i="2"/>
  <c r="N34" i="2"/>
  <c r="M34" i="2"/>
  <c r="N33" i="2"/>
  <c r="M33" i="2"/>
  <c r="N32" i="2"/>
  <c r="M32" i="2"/>
  <c r="N31" i="2"/>
  <c r="M31" i="2"/>
  <c r="N30" i="2"/>
  <c r="M30" i="2"/>
  <c r="N29" i="2"/>
  <c r="M29" i="2"/>
  <c r="N28" i="2"/>
  <c r="M28" i="2"/>
  <c r="N27" i="2"/>
  <c r="M27" i="2"/>
  <c r="N26" i="2"/>
  <c r="M26" i="2"/>
  <c r="N25" i="2"/>
  <c r="M25" i="2"/>
  <c r="N24" i="2"/>
  <c r="M24" i="2"/>
  <c r="N23" i="2"/>
  <c r="M23" i="2"/>
  <c r="N22" i="2"/>
  <c r="M22" i="2"/>
  <c r="N21" i="2"/>
  <c r="M21" i="2"/>
  <c r="N20" i="2"/>
  <c r="M20" i="2"/>
  <c r="N19" i="2"/>
  <c r="M19" i="2"/>
  <c r="N18" i="2"/>
  <c r="M18" i="2"/>
  <c r="N17" i="2"/>
  <c r="M17" i="2"/>
  <c r="N16" i="2"/>
  <c r="M16" i="2"/>
  <c r="N15" i="2"/>
  <c r="M15" i="2"/>
  <c r="N14" i="2"/>
  <c r="M14" i="2"/>
  <c r="N13" i="2"/>
  <c r="M13" i="2"/>
  <c r="N12" i="2"/>
  <c r="M12" i="2"/>
  <c r="N11" i="2"/>
  <c r="M11" i="2"/>
  <c r="N10" i="2"/>
  <c r="M10" i="2"/>
  <c r="N9" i="2"/>
  <c r="M9" i="2"/>
  <c r="N8" i="2"/>
  <c r="M8" i="2"/>
  <c r="N7" i="2"/>
  <c r="M7" i="2"/>
  <c r="N6" i="2"/>
  <c r="M6" i="2"/>
  <c r="N5" i="2"/>
  <c r="M5" i="2"/>
  <c r="N4" i="2"/>
  <c r="M4" i="2"/>
  <c r="N3" i="2"/>
  <c r="M3" i="2"/>
  <c r="N2" i="2"/>
  <c r="M2" i="2"/>
  <c r="B30" i="3"/>
  <c r="D19" i="3"/>
</calcChain>
</file>

<file path=xl/sharedStrings.xml><?xml version="1.0" encoding="utf-8"?>
<sst xmlns="http://schemas.openxmlformats.org/spreadsheetml/2006/main" count="2429" uniqueCount="116">
  <si>
    <t>PORTFOLIO DATA CHALLENGE: BOTTOM TECHNICAL TEAM INTERNSHIP</t>
  </si>
  <si>
    <t>Based on PT Victory Chingluh Indonesia Job Poster Requirements</t>
  </si>
  <si>
    <t>1. Deskripsi Projek Portfolio</t>
  </si>
  <si>
    <t>Projek ini mensimulasikan peran sebagai Technical Intern di bagian Bottom Production (Sol Sepatu). Tugas utama Anda adalah mengolah data ini menggunakan Pivot Table, Rumus Excel, dan Dashboard Visual.</t>
  </si>
  <si>
    <t>2. Kolom &amp; Metrik yang Tersedia:</t>
  </si>
  <si>
    <t xml:space="preserve">   • Date</t>
  </si>
  <si>
    <t>Tanggal pencatatan produksi.</t>
  </si>
  <si>
    <t xml:space="preserve">   • Production Line</t>
  </si>
  <si>
    <t>Area lini produksi Sol (Outsole, Midsole, Assembly, Molding).</t>
  </si>
  <si>
    <t xml:space="preserve">   • Target vs Actual Output</t>
  </si>
  <si>
    <t>Metrik untuk memantau 'Performance Management System / KPI Tracking'.</t>
  </si>
  <si>
    <t xml:space="preserve">   • Defect Type &amp; Qty</t>
  </si>
  <si>
    <t>Data pencatatan defect untuk 'Data Tracking &amp; Quality Reporting'.</t>
  </si>
  <si>
    <t xml:space="preserve">   • Root Cause Analysis &amp; Dept</t>
  </si>
  <si>
    <t>Hasil investigasi akar masalah beserta PIC Departemen terkait untuk 'Root Cause Analysis'.</t>
  </si>
  <si>
    <t xml:space="preserve">   • Action Status</t>
  </si>
  <si>
    <t>Status perbaikan (Completed, In Progress, Pending Verification).</t>
  </si>
  <si>
    <t>3. Rekomendasi Analisis untuk Portfolio Kamu (Saran Tugas):</t>
  </si>
  <si>
    <t xml:space="preserve">   A. KPI &amp; Performance Management</t>
  </si>
  <si>
    <t>Hitung % Pencapaian (Actual / Target) per Lini Produksi menggunakan Pivot Table untuk melihat lini mana yang sering underperform.</t>
  </si>
  <si>
    <t xml:space="preserve">   B. Data Tracking &amp; Reporting</t>
  </si>
  <si>
    <t>Buat Top 3 Defect terbanyak menggunakan diagram Pareto atau Bar Chart.</t>
  </si>
  <si>
    <t xml:space="preserve">   C. Root Cause Analysis (RCA)</t>
  </si>
  <si>
    <t>Buat tabel summary status perbaikan berdasarkan Departemen yang bertanggung jawab. Berikan insight departemen mana yang paling cepat menyelesaikan masalah.</t>
  </si>
  <si>
    <t xml:space="preserve">   D. Interactive Dashboard</t>
  </si>
  <si>
    <t>Gunakan Slicer (berdasarkan Bulan atau Production Line) untuk membuat tampilan report Anda interaktif dan profesional.</t>
  </si>
  <si>
    <t>Date</t>
  </si>
  <si>
    <t>Production Line</t>
  </si>
  <si>
    <t>Shift</t>
  </si>
  <si>
    <t>Target Output (Pairs)</t>
  </si>
  <si>
    <t>Actual Output (Pairs)</t>
  </si>
  <si>
    <t>Primary Defect Type</t>
  </si>
  <si>
    <t>Defect Qty (Pairs)</t>
  </si>
  <si>
    <t>Root Cause Analysis</t>
  </si>
  <si>
    <t>Responsible Department</t>
  </si>
  <si>
    <t>Action Status</t>
  </si>
  <si>
    <t>% Achievement KPI</t>
  </si>
  <si>
    <t>Defect Rate (%)</t>
  </si>
  <si>
    <t>Line A - Outsole</t>
  </si>
  <si>
    <t>Shift 2</t>
  </si>
  <si>
    <t>Unbonding/Peeling</t>
  </si>
  <si>
    <t>Inadequate primer application / Low pressing temperature</t>
  </si>
  <si>
    <t>Machine Maintenance</t>
  </si>
  <si>
    <t>In Progress</t>
  </si>
  <si>
    <t>Line D - Molding</t>
  </si>
  <si>
    <t>Under-cure</t>
  </si>
  <si>
    <t>Heater element malfunction / Short cycle time</t>
  </si>
  <si>
    <t>Operator Training</t>
  </si>
  <si>
    <t>Completed</t>
  </si>
  <si>
    <t>Shift 3</t>
  </si>
  <si>
    <t>Flash/Over-overflow</t>
  </si>
  <si>
    <t>Worn-out mold borders / Excessive compound injection</t>
  </si>
  <si>
    <t>Process Engineering</t>
  </si>
  <si>
    <t>Line C - Assembly</t>
  </si>
  <si>
    <t>Scratches/Marks</t>
  </si>
  <si>
    <t>Rough handling during demolding / Dirty mold cavity</t>
  </si>
  <si>
    <t>Pending Verification</t>
  </si>
  <si>
    <t>Shift 1</t>
  </si>
  <si>
    <t>Air Bubble</t>
  </si>
  <si>
    <t>Improper injection pressure / Material moisture</t>
  </si>
  <si>
    <t>Line B - Midsole</t>
  </si>
  <si>
    <t>Deformation</t>
  </si>
  <si>
    <t>Premature demolding / High cooling temperature</t>
  </si>
  <si>
    <t>Material QC</t>
  </si>
  <si>
    <t>Row Labels</t>
  </si>
  <si>
    <t>Grand Total</t>
  </si>
  <si>
    <t>Sum of Actual Output (Pairs)</t>
  </si>
  <si>
    <t>Jan</t>
  </si>
  <si>
    <t>Feb</t>
  </si>
  <si>
    <t>Mar</t>
  </si>
  <si>
    <t>Apr</t>
  </si>
  <si>
    <t>Mei</t>
  </si>
  <si>
    <t>Jun</t>
  </si>
  <si>
    <t>Total Target (Pairs)</t>
  </si>
  <si>
    <t>Total Actual (Pairs)</t>
  </si>
  <si>
    <t>Sum of Defect Qty (Pairs)</t>
  </si>
  <si>
    <t>Count of Action Status</t>
  </si>
  <si>
    <t>(All)</t>
  </si>
  <si>
    <t>Sum of Defect Qty (Pairs)2</t>
  </si>
  <si>
    <t>Details for Total Target (Pairs) - Shift: Shift 3, Production Line: Line B - Midsole</t>
  </si>
  <si>
    <t>Sum of Target %</t>
  </si>
  <si>
    <t xml:space="preserve">Details for Sum of Target % - : </t>
  </si>
  <si>
    <t>Date (General)</t>
  </si>
  <si>
    <t xml:space="preserve"> Date (Tanggal)</t>
  </si>
  <si>
    <t>Sum of Defect Rate %</t>
  </si>
  <si>
    <t>Sum of Target Output (Pairs)</t>
  </si>
  <si>
    <t>Values</t>
  </si>
  <si>
    <t>Average of % Achievement KPI</t>
  </si>
  <si>
    <t>Average of Defect Rate (%)</t>
  </si>
  <si>
    <t>Sum of achievment%</t>
  </si>
  <si>
    <t>01</t>
  </si>
  <si>
    <t>27</t>
  </si>
  <si>
    <t>03</t>
  </si>
  <si>
    <t>26</t>
  </si>
  <si>
    <t>23</t>
  </si>
  <si>
    <t>06</t>
  </si>
  <si>
    <t>19</t>
  </si>
  <si>
    <t>14</t>
  </si>
  <si>
    <t>13</t>
  </si>
  <si>
    <t>02</t>
  </si>
  <si>
    <t>11</t>
  </si>
  <si>
    <t>25</t>
  </si>
  <si>
    <t>20</t>
  </si>
  <si>
    <t>15</t>
  </si>
  <si>
    <t>17</t>
  </si>
  <si>
    <t>18</t>
  </si>
  <si>
    <t>12</t>
  </si>
  <si>
    <t>10</t>
  </si>
  <si>
    <t>09</t>
  </si>
  <si>
    <t>21</t>
  </si>
  <si>
    <t>04</t>
  </si>
  <si>
    <t>05</t>
  </si>
  <si>
    <t>08</t>
  </si>
  <si>
    <t>07</t>
  </si>
  <si>
    <t>Details for Sum of Actual Output (Pairs) - Production Line: Line A - Outsole</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</si>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</sst>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7" formatCode="0.0\%"/>
    <numFmt numFmtId="168" formatCode="#,##0\ &quot;Pairs&quot;"/>
  </numFmts>
  <fonts count="10" x14ac:knownFonts="1">
    <font>
      <sz val="11"/>
      <color theme="1"/>
      <name val="Calibri"/>
      <family val="2"/>
      <scheme val="minor"/>
    </font>
    <font>
      <b/>
      <sz val="16"/>
      <color rgb="FF1F4E78"/>
      <name val="Segoe UI"/>
    </font>
    <font>
      <i/>
      <sz val="11"/>
      <color rgb="FF595959"/>
      <name val="Segoe UI"/>
    </font>
    <font>
      <b/>
      <sz val="11"/>
      <color rgb="FF000000"/>
      <name val="Segoe UI"/>
    </font>
    <font>
      <sz val="11"/>
      <color rgb="FF000000"/>
      <name val="Segoe UI"/>
    </font>
    <font>
      <b/>
      <sz val="12"/>
      <color rgb="FF2C3E50"/>
      <name val="Segoe UI"/>
    </font>
    <font>
      <b/>
      <sz val="11"/>
      <color rgb="FFFFFFFF"/>
      <name val="Segoe UI"/>
    </font>
    <font>
      <b/>
      <sz val="11"/>
      <color theme="1"/>
      <name val="Calibri"/>
      <family val="2"/>
      <scheme val="minor"/>
    </font>
    <font>
      <b/>
      <sz val="11"/>
      <color rgb="FFFFFFFF"/>
      <name val="Segoe UI"/>
      <family val="2"/>
    </font>
    <font>
      <sz val="11"/>
      <color rgb="FF000000"/>
      <name val="Segoe UI"/>
      <family val="2"/>
    </font>
  </fonts>
  <fills count="6">
    <fill>
      <patternFill patternType="none"/>
    </fill>
    <fill>
      <patternFill patternType="gray125"/>
    </fill>
    <fill>
      <patternFill patternType="solid">
        <fgColor rgb="FF1F4E78"/>
        <bgColor rgb="FF1F4E78"/>
      </patternFill>
    </fill>
    <fill>
      <patternFill patternType="solid">
        <fgColor rgb="FFF2F7FA"/>
        <bgColor rgb="FFF2F7FA"/>
      </patternFill>
    </fill>
    <fill>
      <patternFill patternType="solid">
        <fgColor theme="0"/>
        <bgColor indexed="64"/>
      </patternFill>
    </fill>
    <fill>
      <patternFill patternType="solid">
        <fgColor theme="0" tint="-4.9989318521683403E-2"/>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0" xfId="0" applyFont="1" applyFill="1" applyAlignment="1">
      <alignment horizontal="center" vertical="center" wrapText="1"/>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3" fontId="4" fillId="3" borderId="1" xfId="0" applyNumberFormat="1" applyFont="1" applyFill="1" applyBorder="1" applyAlignment="1">
      <alignment horizontal="center" vertical="center"/>
    </xf>
    <xf numFmtId="165" fontId="4" fillId="3" borderId="1" xfId="0"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3" fontId="4"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5" fontId="0" fillId="0" borderId="0" xfId="0" applyNumberFormat="1"/>
    <xf numFmtId="10" fontId="0" fillId="0" borderId="0" xfId="0" applyNumberFormat="1"/>
    <xf numFmtId="14" fontId="0" fillId="0" borderId="0" xfId="0" applyNumberFormat="1"/>
    <xf numFmtId="0" fontId="7" fillId="0" borderId="0" xfId="0" applyFont="1"/>
    <xf numFmtId="0" fontId="8" fillId="2" borderId="0" xfId="0" applyFont="1" applyFill="1" applyAlignment="1">
      <alignment horizontal="center" vertical="center" wrapText="1"/>
    </xf>
    <xf numFmtId="14" fontId="4" fillId="3" borderId="1" xfId="0" applyNumberFormat="1" applyFont="1" applyFill="1" applyBorder="1" applyAlignment="1">
      <alignment horizontal="center" vertical="center"/>
    </xf>
    <xf numFmtId="164" fontId="9" fillId="3"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164" fontId="9" fillId="3" borderId="2" xfId="0" applyNumberFormat="1" applyFont="1" applyFill="1" applyBorder="1" applyAlignment="1">
      <alignment horizontal="center" vertical="center"/>
    </xf>
    <xf numFmtId="167"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9" fontId="0" fillId="0" borderId="0" xfId="0" applyNumberFormat="1"/>
    <xf numFmtId="0" fontId="0" fillId="4" borderId="0" xfId="0" applyFill="1"/>
    <xf numFmtId="168" fontId="0" fillId="0" borderId="0" xfId="0" applyNumberFormat="1"/>
    <xf numFmtId="0" fontId="0" fillId="0" borderId="0" xfId="0" applyNumberFormat="1"/>
    <xf numFmtId="0" fontId="0" fillId="5" borderId="0" xfId="0" applyFill="1"/>
  </cellXfs>
  <cellStyles count="1">
    <cellStyle name="Normal" xfId="0" builtinId="0"/>
  </cellStyles>
  <dxfs count="214">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8" formatCode="#,##0\ &quot;Pairs&quot;"/>
    </dxf>
    <dxf>
      <numFmt numFmtId="168" formatCode="#,##0\ &quot;Pairs&quot;"/>
    </dxf>
    <dxf>
      <numFmt numFmtId="14" formatCode="0.00%"/>
    </dxf>
    <dxf>
      <numFmt numFmtId="14" formatCode="0.00%"/>
    </dxf>
    <dxf>
      <numFmt numFmtId="14" formatCode="0.00%"/>
    </dxf>
    <dxf>
      <numFmt numFmtId="14" formatCode="0.00%"/>
    </dxf>
    <dxf>
      <numFmt numFmtId="167" formatCode="0.0\%"/>
    </dxf>
    <dxf>
      <numFmt numFmtId="165" formatCode="0.0%"/>
    </dxf>
    <dxf>
      <numFmt numFmtId="165" formatCode="0.0%"/>
    </dxf>
    <dxf>
      <numFmt numFmtId="165" formatCode="0.0%"/>
    </dxf>
    <dxf>
      <numFmt numFmtId="19" formatCode="dd/mm/yyyy"/>
    </dxf>
    <dxf>
      <numFmt numFmtId="19" formatCode="dd/mm/yyyy"/>
    </dxf>
    <dxf>
      <numFmt numFmtId="19" formatCode="dd/mm/yyyy"/>
    </dxf>
    <dxf>
      <numFmt numFmtId="19" formatCode="dd/mm/yyyy"/>
    </dxf>
  </dxfs>
  <tableStyles count="0" defaultTableStyle="TableStyleMedium9" defaultPivotStyle="PivotStyleLight16"/>
  <colors>
    <mruColors>
      <color rgb="FF8585BD"/>
      <color rgb="FF7272B2"/>
      <color rgb="FF508CD4"/>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[Production-Quality-Performance-Dashboard.xlsx]Pivot!PivotTable3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Volume: Target vs actual (Pairs)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7537182852143"/>
          <c:y val="0.13323855351414407"/>
          <c:w val="0.60109426946631672"/>
          <c:h val="0.47951079031787691"/>
        </c:manualLayout>
      </c:layout>
      <c:barChart>
        <c:barDir val="col"/>
        <c:grouping val="clustered"/>
        <c:varyColors val="0"/>
        <c:ser>
          <c:idx val="0"/>
          <c:order val="0"/>
          <c:tx>
            <c:strRef>
              <c:f>Pivot!$B$1</c:f>
              <c:strCache>
                <c:ptCount val="1"/>
                <c:pt idx="0">
                  <c:v>Total Target (Pairs)</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Pivot!$A$2:$A$18</c:f>
              <c:multiLvlStrCache>
                <c:ptCount val="12"/>
                <c:lvl>
                  <c:pt idx="0">
                    <c:v>Shift 1</c:v>
                  </c:pt>
                  <c:pt idx="1">
                    <c:v>Shift 2</c:v>
                  </c:pt>
                  <c:pt idx="2">
                    <c:v>Shift 3</c:v>
                  </c:pt>
                  <c:pt idx="3">
                    <c:v>Shift 1</c:v>
                  </c:pt>
                  <c:pt idx="4">
                    <c:v>Shift 2</c:v>
                  </c:pt>
                  <c:pt idx="5">
                    <c:v>Shift 3</c:v>
                  </c:pt>
                  <c:pt idx="6">
                    <c:v>Shift 1</c:v>
                  </c:pt>
                  <c:pt idx="7">
                    <c:v>Shift 2</c:v>
                  </c:pt>
                  <c:pt idx="8">
                    <c:v>Shift 3</c:v>
                  </c:pt>
                  <c:pt idx="9">
                    <c:v>Shift 1</c:v>
                  </c:pt>
                  <c:pt idx="10">
                    <c:v>Shift 2</c:v>
                  </c:pt>
                  <c:pt idx="11">
                    <c:v>Shift 3</c:v>
                  </c:pt>
                </c:lvl>
                <c:lvl>
                  <c:pt idx="0">
                    <c:v>Line A - Outsole</c:v>
                  </c:pt>
                  <c:pt idx="3">
                    <c:v>Line B - Midsole</c:v>
                  </c:pt>
                  <c:pt idx="6">
                    <c:v>Line C - Assembly</c:v>
                  </c:pt>
                  <c:pt idx="9">
                    <c:v>Line D - Molding</c:v>
                  </c:pt>
                </c:lvl>
              </c:multiLvlStrCache>
            </c:multiLvlStrRef>
          </c:cat>
          <c:val>
            <c:numRef>
              <c:f>Pivot!$B$2:$B$18</c:f>
              <c:numCache>
                <c:formatCode>#,##0</c:formatCode>
                <c:ptCount val="12"/>
                <c:pt idx="0">
                  <c:v>15800</c:v>
                </c:pt>
                <c:pt idx="1">
                  <c:v>19000</c:v>
                </c:pt>
                <c:pt idx="2">
                  <c:v>17000</c:v>
                </c:pt>
                <c:pt idx="3">
                  <c:v>10600</c:v>
                </c:pt>
                <c:pt idx="4">
                  <c:v>18800</c:v>
                </c:pt>
                <c:pt idx="5">
                  <c:v>19300</c:v>
                </c:pt>
                <c:pt idx="6">
                  <c:v>30600</c:v>
                </c:pt>
                <c:pt idx="7">
                  <c:v>19500</c:v>
                </c:pt>
                <c:pt idx="8">
                  <c:v>12000</c:v>
                </c:pt>
                <c:pt idx="9">
                  <c:v>19700</c:v>
                </c:pt>
                <c:pt idx="10">
                  <c:v>21900</c:v>
                </c:pt>
                <c:pt idx="11">
                  <c:v>17600</c:v>
                </c:pt>
              </c:numCache>
            </c:numRef>
          </c:val>
          <c:extLst>
            <c:ext xmlns:c16="http://schemas.microsoft.com/office/drawing/2014/chart" uri="{C3380CC4-5D6E-409C-BE32-E72D297353CC}">
              <c16:uniqueId val="{00000000-F002-4A75-A764-C68203B6B6AF}"/>
            </c:ext>
          </c:extLst>
        </c:ser>
        <c:ser>
          <c:idx val="1"/>
          <c:order val="1"/>
          <c:tx>
            <c:strRef>
              <c:f>Pivot!$C$1</c:f>
              <c:strCache>
                <c:ptCount val="1"/>
                <c:pt idx="0">
                  <c:v>Total Actual (Pairs)</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Pivot!$A$2:$A$18</c:f>
              <c:multiLvlStrCache>
                <c:ptCount val="12"/>
                <c:lvl>
                  <c:pt idx="0">
                    <c:v>Shift 1</c:v>
                  </c:pt>
                  <c:pt idx="1">
                    <c:v>Shift 2</c:v>
                  </c:pt>
                  <c:pt idx="2">
                    <c:v>Shift 3</c:v>
                  </c:pt>
                  <c:pt idx="3">
                    <c:v>Shift 1</c:v>
                  </c:pt>
                  <c:pt idx="4">
                    <c:v>Shift 2</c:v>
                  </c:pt>
                  <c:pt idx="5">
                    <c:v>Shift 3</c:v>
                  </c:pt>
                  <c:pt idx="6">
                    <c:v>Shift 1</c:v>
                  </c:pt>
                  <c:pt idx="7">
                    <c:v>Shift 2</c:v>
                  </c:pt>
                  <c:pt idx="8">
                    <c:v>Shift 3</c:v>
                  </c:pt>
                  <c:pt idx="9">
                    <c:v>Shift 1</c:v>
                  </c:pt>
                  <c:pt idx="10">
                    <c:v>Shift 2</c:v>
                  </c:pt>
                  <c:pt idx="11">
                    <c:v>Shift 3</c:v>
                  </c:pt>
                </c:lvl>
                <c:lvl>
                  <c:pt idx="0">
                    <c:v>Line A - Outsole</c:v>
                  </c:pt>
                  <c:pt idx="3">
                    <c:v>Line B - Midsole</c:v>
                  </c:pt>
                  <c:pt idx="6">
                    <c:v>Line C - Assembly</c:v>
                  </c:pt>
                  <c:pt idx="9">
                    <c:v>Line D - Molding</c:v>
                  </c:pt>
                </c:lvl>
              </c:multiLvlStrCache>
            </c:multiLvlStrRef>
          </c:cat>
          <c:val>
            <c:numRef>
              <c:f>Pivot!$C$2:$C$18</c:f>
              <c:numCache>
                <c:formatCode>#,##0</c:formatCode>
                <c:ptCount val="12"/>
                <c:pt idx="0">
                  <c:v>14422</c:v>
                </c:pt>
                <c:pt idx="1">
                  <c:v>17463</c:v>
                </c:pt>
                <c:pt idx="2">
                  <c:v>15142</c:v>
                </c:pt>
                <c:pt idx="3">
                  <c:v>9730</c:v>
                </c:pt>
                <c:pt idx="4">
                  <c:v>17378</c:v>
                </c:pt>
                <c:pt idx="5">
                  <c:v>17682</c:v>
                </c:pt>
                <c:pt idx="6">
                  <c:v>27978</c:v>
                </c:pt>
                <c:pt idx="7">
                  <c:v>18136</c:v>
                </c:pt>
                <c:pt idx="8">
                  <c:v>11097</c:v>
                </c:pt>
                <c:pt idx="9">
                  <c:v>18047</c:v>
                </c:pt>
                <c:pt idx="10">
                  <c:v>20078</c:v>
                </c:pt>
                <c:pt idx="11">
                  <c:v>16168</c:v>
                </c:pt>
              </c:numCache>
            </c:numRef>
          </c:val>
          <c:extLst>
            <c:ext xmlns:c16="http://schemas.microsoft.com/office/drawing/2014/chart" uri="{C3380CC4-5D6E-409C-BE32-E72D297353CC}">
              <c16:uniqueId val="{00000001-F002-4A75-A764-C68203B6B6AF}"/>
            </c:ext>
          </c:extLst>
        </c:ser>
        <c:ser>
          <c:idx val="2"/>
          <c:order val="2"/>
          <c:tx>
            <c:strRef>
              <c:f>Pivot!$D$1</c:f>
              <c:strCache>
                <c:ptCount val="1"/>
                <c:pt idx="0">
                  <c:v>Sum of Target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Pivot!$A$2:$A$18</c:f>
              <c:multiLvlStrCache>
                <c:ptCount val="12"/>
                <c:lvl>
                  <c:pt idx="0">
                    <c:v>Shift 1</c:v>
                  </c:pt>
                  <c:pt idx="1">
                    <c:v>Shift 2</c:v>
                  </c:pt>
                  <c:pt idx="2">
                    <c:v>Shift 3</c:v>
                  </c:pt>
                  <c:pt idx="3">
                    <c:v>Shift 1</c:v>
                  </c:pt>
                  <c:pt idx="4">
                    <c:v>Shift 2</c:v>
                  </c:pt>
                  <c:pt idx="5">
                    <c:v>Shift 3</c:v>
                  </c:pt>
                  <c:pt idx="6">
                    <c:v>Shift 1</c:v>
                  </c:pt>
                  <c:pt idx="7">
                    <c:v>Shift 2</c:v>
                  </c:pt>
                  <c:pt idx="8">
                    <c:v>Shift 3</c:v>
                  </c:pt>
                  <c:pt idx="9">
                    <c:v>Shift 1</c:v>
                  </c:pt>
                  <c:pt idx="10">
                    <c:v>Shift 2</c:v>
                  </c:pt>
                  <c:pt idx="11">
                    <c:v>Shift 3</c:v>
                  </c:pt>
                </c:lvl>
                <c:lvl>
                  <c:pt idx="0">
                    <c:v>Line A - Outsole</c:v>
                  </c:pt>
                  <c:pt idx="3">
                    <c:v>Line B - Midsole</c:v>
                  </c:pt>
                  <c:pt idx="6">
                    <c:v>Line C - Assembly</c:v>
                  </c:pt>
                  <c:pt idx="9">
                    <c:v>Line D - Molding</c:v>
                  </c:pt>
                </c:lvl>
              </c:multiLvlStrCache>
            </c:multiLvlStrRef>
          </c:cat>
          <c:val>
            <c:numRef>
              <c:f>Pivot!$D$2:$D$18</c:f>
              <c:numCache>
                <c:formatCode>0.0%</c:formatCode>
                <c:ptCount val="12"/>
                <c:pt idx="0">
                  <c:v>0.9127848101265823</c:v>
                </c:pt>
                <c:pt idx="1">
                  <c:v>0.91910526315789476</c:v>
                </c:pt>
                <c:pt idx="2">
                  <c:v>0.89070588235294113</c:v>
                </c:pt>
                <c:pt idx="3">
                  <c:v>0.91792452830188676</c:v>
                </c:pt>
                <c:pt idx="4">
                  <c:v>0.92436170212765956</c:v>
                </c:pt>
                <c:pt idx="5">
                  <c:v>0.91616580310880824</c:v>
                </c:pt>
                <c:pt idx="6">
                  <c:v>0.91431372549019607</c:v>
                </c:pt>
                <c:pt idx="7">
                  <c:v>0.93005128205128207</c:v>
                </c:pt>
                <c:pt idx="8">
                  <c:v>0.92474999999999996</c:v>
                </c:pt>
                <c:pt idx="9">
                  <c:v>0.91609137055837564</c:v>
                </c:pt>
                <c:pt idx="10">
                  <c:v>0.91680365296803656</c:v>
                </c:pt>
                <c:pt idx="11">
                  <c:v>0.91863636363636358</c:v>
                </c:pt>
              </c:numCache>
            </c:numRef>
          </c:val>
          <c:extLst>
            <c:ext xmlns:c16="http://schemas.microsoft.com/office/drawing/2014/chart" uri="{C3380CC4-5D6E-409C-BE32-E72D297353CC}">
              <c16:uniqueId val="{00000005-F002-4A75-A764-C68203B6B6AF}"/>
            </c:ext>
          </c:extLst>
        </c:ser>
        <c:dLbls>
          <c:dLblPos val="outEnd"/>
          <c:showLegendKey val="0"/>
          <c:showVal val="1"/>
          <c:showCatName val="0"/>
          <c:showSerName val="0"/>
          <c:showPercent val="0"/>
          <c:showBubbleSize val="0"/>
        </c:dLbls>
        <c:gapWidth val="219"/>
        <c:overlap val="-27"/>
        <c:axId val="159407040"/>
        <c:axId val="159406080"/>
      </c:barChart>
      <c:catAx>
        <c:axId val="15940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06080"/>
        <c:crosses val="autoZero"/>
        <c:auto val="1"/>
        <c:lblAlgn val="ctr"/>
        <c:lblOffset val="100"/>
        <c:noMultiLvlLbl val="0"/>
      </c:catAx>
      <c:valAx>
        <c:axId val="159406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0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[Production-Quality-Performance-Dashboard.xlsx]Pivot!PivotTable4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Total Defect All</a:t>
            </a:r>
            <a:r>
              <a:rPr lang="en-US" sz="1200" baseline="0">
                <a:latin typeface="Times New Roman" panose="02020603050405020304" pitchFamily="18" charset="0"/>
                <a:cs typeface="Times New Roman" panose="02020603050405020304" pitchFamily="18" charset="0"/>
              </a:rPr>
              <a:t> Departemen</a:t>
            </a:r>
            <a:r>
              <a:rPr lang="en-US" sz="1200">
                <a:latin typeface="Times New Roman" panose="02020603050405020304" pitchFamily="18" charset="0"/>
                <a:cs typeface="Times New Roman" panose="02020603050405020304" pitchFamily="18" charset="0"/>
              </a:rPr>
              <a:t> (Jan - Jun 2026)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pivotFmt>
    </c:pivotFmts>
    <c:plotArea>
      <c:layout/>
      <c:barChart>
        <c:barDir val="bar"/>
        <c:grouping val="clustered"/>
        <c:varyColors val="0"/>
        <c:ser>
          <c:idx val="0"/>
          <c:order val="0"/>
          <c:tx>
            <c:strRef>
              <c:f>Pivot!$B$22</c:f>
              <c:strCache>
                <c:ptCount val="1"/>
                <c:pt idx="0">
                  <c:v>Total</c:v>
                </c:pt>
              </c:strCache>
            </c:strRef>
          </c:tx>
          <c:spPr>
            <a:solidFill>
              <a:schemeClr val="accent2"/>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11A2-4399-9B27-C4AC18AA85E8}"/>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11A2-4399-9B27-C4AC18AA85E8}"/>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4-11A2-4399-9B27-C4AC18AA85E8}"/>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5-11A2-4399-9B27-C4AC18AA85E8}"/>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6-11A2-4399-9B27-C4AC18AA85E8}"/>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7-11A2-4399-9B27-C4AC18AA85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Pivot!$A$23:$A$28</c:f>
              <c:strCache>
                <c:ptCount val="6"/>
                <c:pt idx="0">
                  <c:v>Unbonding/Peeling</c:v>
                </c:pt>
                <c:pt idx="1">
                  <c:v>Air Bubble</c:v>
                </c:pt>
                <c:pt idx="2">
                  <c:v>Scratches/Marks</c:v>
                </c:pt>
                <c:pt idx="3">
                  <c:v>Flash/Over-overflow</c:v>
                </c:pt>
                <c:pt idx="4">
                  <c:v>Deformation</c:v>
                </c:pt>
                <c:pt idx="5">
                  <c:v>Under-cure</c:v>
                </c:pt>
              </c:strCache>
            </c:strRef>
          </c:cat>
          <c:val>
            <c:numRef>
              <c:f>Pivot!$B$23:$B$28</c:f>
              <c:numCache>
                <c:formatCode>#,##0</c:formatCode>
                <c:ptCount val="6"/>
                <c:pt idx="0">
                  <c:v>1642</c:v>
                </c:pt>
                <c:pt idx="1">
                  <c:v>1127</c:v>
                </c:pt>
                <c:pt idx="2">
                  <c:v>699</c:v>
                </c:pt>
                <c:pt idx="3">
                  <c:v>602</c:v>
                </c:pt>
                <c:pt idx="4">
                  <c:v>475</c:v>
                </c:pt>
                <c:pt idx="5">
                  <c:v>389</c:v>
                </c:pt>
              </c:numCache>
            </c:numRef>
          </c:val>
          <c:extLst>
            <c:ext xmlns:c16="http://schemas.microsoft.com/office/drawing/2014/chart" uri="{C3380CC4-5D6E-409C-BE32-E72D297353CC}">
              <c16:uniqueId val="{00000000-11A2-4399-9B27-C4AC18AA85E8}"/>
            </c:ext>
          </c:extLst>
        </c:ser>
        <c:dLbls>
          <c:dLblPos val="outEnd"/>
          <c:showLegendKey val="0"/>
          <c:showVal val="1"/>
          <c:showCatName val="0"/>
          <c:showSerName val="0"/>
          <c:showPercent val="0"/>
          <c:showBubbleSize val="0"/>
        </c:dLbls>
        <c:gapWidth val="182"/>
        <c:axId val="97101104"/>
        <c:axId val="97103504"/>
      </c:barChart>
      <c:catAx>
        <c:axId val="971011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03504"/>
        <c:crosses val="autoZero"/>
        <c:auto val="1"/>
        <c:lblAlgn val="ctr"/>
        <c:lblOffset val="100"/>
        <c:noMultiLvlLbl val="0"/>
      </c:catAx>
      <c:valAx>
        <c:axId val="97103504"/>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0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[Production-Quality-Performance-Dashboard.xlsx]Pivot!PivotTable8</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Tren</a:t>
            </a:r>
            <a:r>
              <a:rPr lang="en-US" sz="1200" b="1" baseline="0"/>
              <a:t> Bulanan Produksi (Jan - Jun 2026)</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Pivot!$B$37</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Pivot!$A$38:$A$44</c:f>
              <c:strCache>
                <c:ptCount val="6"/>
                <c:pt idx="0">
                  <c:v>Jan</c:v>
                </c:pt>
                <c:pt idx="1">
                  <c:v>Feb</c:v>
                </c:pt>
                <c:pt idx="2">
                  <c:v>Mar</c:v>
                </c:pt>
                <c:pt idx="3">
                  <c:v>Apr</c:v>
                </c:pt>
                <c:pt idx="4">
                  <c:v>Mei</c:v>
                </c:pt>
                <c:pt idx="5">
                  <c:v>Jun</c:v>
                </c:pt>
              </c:strCache>
            </c:strRef>
          </c:cat>
          <c:val>
            <c:numRef>
              <c:f>Pivot!$B$38:$B$44</c:f>
              <c:numCache>
                <c:formatCode>#,##0</c:formatCode>
                <c:ptCount val="6"/>
                <c:pt idx="0">
                  <c:v>34499</c:v>
                </c:pt>
                <c:pt idx="1">
                  <c:v>33387</c:v>
                </c:pt>
                <c:pt idx="2">
                  <c:v>33963</c:v>
                </c:pt>
                <c:pt idx="3">
                  <c:v>34165</c:v>
                </c:pt>
                <c:pt idx="4">
                  <c:v>33925</c:v>
                </c:pt>
                <c:pt idx="5">
                  <c:v>33382</c:v>
                </c:pt>
              </c:numCache>
            </c:numRef>
          </c:val>
          <c:smooth val="0"/>
          <c:extLst>
            <c:ext xmlns:c16="http://schemas.microsoft.com/office/drawing/2014/chart" uri="{C3380CC4-5D6E-409C-BE32-E72D297353CC}">
              <c16:uniqueId val="{00000000-2F1C-436B-BDF0-183AC9CC3033}"/>
            </c:ext>
          </c:extLst>
        </c:ser>
        <c:dLbls>
          <c:showLegendKey val="0"/>
          <c:showVal val="0"/>
          <c:showCatName val="0"/>
          <c:showSerName val="0"/>
          <c:showPercent val="0"/>
          <c:showBubbleSize val="0"/>
        </c:dLbls>
        <c:smooth val="0"/>
        <c:axId val="150553216"/>
        <c:axId val="150561376"/>
      </c:lineChart>
      <c:catAx>
        <c:axId val="15055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1376"/>
        <c:crosses val="autoZero"/>
        <c:auto val="1"/>
        <c:lblAlgn val="ctr"/>
        <c:lblOffset val="100"/>
        <c:noMultiLvlLbl val="0"/>
      </c:catAx>
      <c:valAx>
        <c:axId val="150561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5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[Production-Quality-Performance-Dashboard.xlsx]Pivot!PivotTable9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Analisis</a:t>
            </a:r>
            <a:r>
              <a:rPr lang="en-US" sz="1200" b="1" baseline="0"/>
              <a:t> Pareto : Prioritas Perbaikan Defect </a:t>
            </a:r>
            <a:endParaRPr lang="en-US" sz="1200" b="1"/>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50000"/>
              </a:schemeClr>
            </a:solidFill>
            <a:round/>
          </a:ln>
          <a:effectLst/>
        </c:spPr>
        <c:marker>
          <c:symbol val="none"/>
        </c:marker>
      </c:pivotFmt>
      <c:pivotFmt>
        <c:idx val="3"/>
        <c:spPr>
          <a:ln w="28575" cap="rnd">
            <a:solidFill>
              <a:schemeClr val="bg1">
                <a:lumMod val="50000"/>
              </a:schemeClr>
            </a:solidFill>
            <a:round/>
          </a:ln>
          <a:effectLst/>
        </c:spPr>
        <c:marker>
          <c:symbol val="none"/>
        </c:marker>
      </c:pivotFmt>
      <c:pivotFmt>
        <c:idx val="4"/>
        <c:spPr>
          <a:ln w="28575" cap="rnd">
            <a:solidFill>
              <a:schemeClr val="bg1">
                <a:lumMod val="50000"/>
              </a:schemeClr>
            </a:solidFill>
            <a:round/>
          </a:ln>
          <a:effectLst/>
        </c:spPr>
        <c:marker>
          <c:symbol val="none"/>
        </c:marker>
      </c:pivotFmt>
    </c:pivotFmts>
    <c:plotArea>
      <c:layout/>
      <c:barChart>
        <c:barDir val="col"/>
        <c:grouping val="clustered"/>
        <c:varyColors val="0"/>
        <c:ser>
          <c:idx val="0"/>
          <c:order val="0"/>
          <c:tx>
            <c:strRef>
              <c:f>Pivot!$G$37</c:f>
              <c:strCache>
                <c:ptCount val="1"/>
                <c:pt idx="0">
                  <c:v>Sum of Defect Qty (Pairs)2</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Pivot!$F$38:$F$44</c:f>
              <c:strCache>
                <c:ptCount val="6"/>
                <c:pt idx="0">
                  <c:v>Unbonding/Peeling</c:v>
                </c:pt>
                <c:pt idx="1">
                  <c:v>Air Bubble</c:v>
                </c:pt>
                <c:pt idx="2">
                  <c:v>Scratches/Marks</c:v>
                </c:pt>
                <c:pt idx="3">
                  <c:v>Flash/Over-overflow</c:v>
                </c:pt>
                <c:pt idx="4">
                  <c:v>Deformation</c:v>
                </c:pt>
                <c:pt idx="5">
                  <c:v>Under-cure</c:v>
                </c:pt>
              </c:strCache>
            </c:strRef>
          </c:cat>
          <c:val>
            <c:numRef>
              <c:f>Pivot!$G$38:$G$44</c:f>
              <c:numCache>
                <c:formatCode>#,##0</c:formatCode>
                <c:ptCount val="6"/>
                <c:pt idx="0">
                  <c:v>1642</c:v>
                </c:pt>
                <c:pt idx="1">
                  <c:v>1127</c:v>
                </c:pt>
                <c:pt idx="2">
                  <c:v>699</c:v>
                </c:pt>
                <c:pt idx="3">
                  <c:v>602</c:v>
                </c:pt>
                <c:pt idx="4">
                  <c:v>475</c:v>
                </c:pt>
                <c:pt idx="5">
                  <c:v>389</c:v>
                </c:pt>
              </c:numCache>
            </c:numRef>
          </c:val>
          <c:extLst>
            <c:ext xmlns:c16="http://schemas.microsoft.com/office/drawing/2014/chart" uri="{C3380CC4-5D6E-409C-BE32-E72D297353CC}">
              <c16:uniqueId val="{00000000-FD11-4FC9-8098-42045F35FAF1}"/>
            </c:ext>
          </c:extLst>
        </c:ser>
        <c:dLbls>
          <c:showLegendKey val="0"/>
          <c:showVal val="1"/>
          <c:showCatName val="0"/>
          <c:showSerName val="0"/>
          <c:showPercent val="0"/>
          <c:showBubbleSize val="0"/>
        </c:dLbls>
        <c:gapWidth val="219"/>
        <c:overlap val="-27"/>
        <c:axId val="211076320"/>
        <c:axId val="211078240"/>
      </c:barChart>
      <c:lineChart>
        <c:grouping val="standard"/>
        <c:varyColors val="0"/>
        <c:ser>
          <c:idx val="1"/>
          <c:order val="1"/>
          <c:tx>
            <c:strRef>
              <c:f>Pivot!$H$37</c:f>
              <c:strCache>
                <c:ptCount val="1"/>
                <c:pt idx="0">
                  <c:v>Sum of Defect Qty (Pairs)</c:v>
                </c:pt>
              </c:strCache>
            </c:strRef>
          </c:tx>
          <c:spPr>
            <a:ln w="28575" cap="rnd">
              <a:solidFill>
                <a:schemeClr val="bg1">
                  <a:lumMod val="50000"/>
                </a:schemeClr>
              </a:solidFill>
              <a:round/>
            </a:ln>
            <a:effectLst/>
          </c:spPr>
          <c:marker>
            <c:symbol val="none"/>
          </c:marker>
          <c:dPt>
            <c:idx val="2"/>
            <c:marker>
              <c:symbol val="none"/>
            </c:marker>
            <c:bubble3D val="0"/>
            <c:extLst>
              <c:ext xmlns:c16="http://schemas.microsoft.com/office/drawing/2014/chart" uri="{C3380CC4-5D6E-409C-BE32-E72D297353CC}">
                <c16:uniqueId val="{00000000-BF51-4DC4-8430-177EB88D4AD6}"/>
              </c:ext>
            </c:extLst>
          </c:dPt>
          <c:dPt>
            <c:idx val="3"/>
            <c:marker>
              <c:symbol val="none"/>
            </c:marker>
            <c:bubble3D val="0"/>
            <c:extLst>
              <c:ext xmlns:c16="http://schemas.microsoft.com/office/drawing/2014/chart" uri="{C3380CC4-5D6E-409C-BE32-E72D297353CC}">
                <c16:uniqueId val="{00000003-FD11-4FC9-8098-42045F35FAF1}"/>
              </c:ext>
            </c:extLst>
          </c:dPt>
          <c:dPt>
            <c:idx val="4"/>
            <c:marker>
              <c:symbol val="none"/>
            </c:marker>
            <c:bubble3D val="0"/>
            <c:extLst>
              <c:ext xmlns:c16="http://schemas.microsoft.com/office/drawing/2014/chart" uri="{C3380CC4-5D6E-409C-BE32-E72D297353CC}">
                <c16:uniqueId val="{00000001-E483-409C-AD74-ABB8C899D4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Pivot!$F$38:$F$44</c:f>
              <c:strCache>
                <c:ptCount val="6"/>
                <c:pt idx="0">
                  <c:v>Unbonding/Peeling</c:v>
                </c:pt>
                <c:pt idx="1">
                  <c:v>Air Bubble</c:v>
                </c:pt>
                <c:pt idx="2">
                  <c:v>Scratches/Marks</c:v>
                </c:pt>
                <c:pt idx="3">
                  <c:v>Flash/Over-overflow</c:v>
                </c:pt>
                <c:pt idx="4">
                  <c:v>Deformation</c:v>
                </c:pt>
                <c:pt idx="5">
                  <c:v>Under-cure</c:v>
                </c:pt>
              </c:strCache>
            </c:strRef>
          </c:cat>
          <c:val>
            <c:numRef>
              <c:f>Pivot!$H$38:$H$44</c:f>
              <c:numCache>
                <c:formatCode>0.00%</c:formatCode>
                <c:ptCount val="6"/>
                <c:pt idx="0">
                  <c:v>0.33279286582894202</c:v>
                </c:pt>
                <c:pt idx="1">
                  <c:v>0.56120794487231451</c:v>
                </c:pt>
                <c:pt idx="2">
                  <c:v>0.70287798946088365</c:v>
                </c:pt>
                <c:pt idx="3">
                  <c:v>0.82488852857721928</c:v>
                </c:pt>
                <c:pt idx="4">
                  <c:v>0.92115930279691938</c:v>
                </c:pt>
                <c:pt idx="5">
                  <c:v>1</c:v>
                </c:pt>
              </c:numCache>
            </c:numRef>
          </c:val>
          <c:smooth val="0"/>
          <c:extLst>
            <c:ext xmlns:c16="http://schemas.microsoft.com/office/drawing/2014/chart" uri="{C3380CC4-5D6E-409C-BE32-E72D297353CC}">
              <c16:uniqueId val="{00000001-FD11-4FC9-8098-42045F35FAF1}"/>
            </c:ext>
          </c:extLst>
        </c:ser>
        <c:dLbls>
          <c:showLegendKey val="0"/>
          <c:showVal val="1"/>
          <c:showCatName val="0"/>
          <c:showSerName val="0"/>
          <c:showPercent val="0"/>
          <c:showBubbleSize val="0"/>
        </c:dLbls>
        <c:marker val="1"/>
        <c:smooth val="0"/>
        <c:axId val="210079200"/>
        <c:axId val="210078720"/>
      </c:lineChart>
      <c:catAx>
        <c:axId val="21107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8240"/>
        <c:crosses val="autoZero"/>
        <c:auto val="1"/>
        <c:lblAlgn val="ctr"/>
        <c:lblOffset val="100"/>
        <c:noMultiLvlLbl val="0"/>
      </c:catAx>
      <c:valAx>
        <c:axId val="211078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6320"/>
        <c:crosses val="autoZero"/>
        <c:crossBetween val="between"/>
      </c:valAx>
      <c:valAx>
        <c:axId val="21007872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79200"/>
        <c:crosses val="max"/>
        <c:crossBetween val="between"/>
      </c:valAx>
      <c:catAx>
        <c:axId val="210079200"/>
        <c:scaling>
          <c:orientation val="minMax"/>
        </c:scaling>
        <c:delete val="1"/>
        <c:axPos val="b"/>
        <c:numFmt formatCode="General" sourceLinked="1"/>
        <c:majorTickMark val="out"/>
        <c:minorTickMark val="none"/>
        <c:tickLblPos val="nextTo"/>
        <c:crossAx val="2100787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[Production-Quality-Performance-Dashboard.xlsx]Pivot!PivotTable5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Title</a:t>
            </a:r>
          </a:p>
        </c:rich>
      </c:tx>
      <c:overlay val="0"/>
      <c:spPr>
        <a:noFill/>
        <a:ln>
          <a:noFill/>
        </a:ln>
        <a:effectLst/>
      </c:spPr>
    </c:title>
    <c:autoTitleDeleted val="0"/>
    <c:pivotFmts>
      <c:pivotFmt>
        <c:idx val="0"/>
        <c:spPr>
          <a:solidFill>
            <a:schemeClr val="accent4"/>
          </a:solidFill>
          <a:ln w="19050">
            <a:solidFill>
              <a:schemeClr val="lt1"/>
            </a:solidFill>
          </a:ln>
          <a:effectLst/>
        </c:spPr>
        <c:marker>
          <c:symbol val="none"/>
        </c:marker>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105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105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4"/>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105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4">
              <a:shade val="76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4">
              <a:tint val="77000"/>
            </a:schemeClr>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0" tIns="19050" rIns="38100" bIns="19050" anchor="t" anchorCtr="0">
              <a:spAutoFit/>
            </a:bodyPr>
            <a:lstStyle/>
            <a:p>
              <a:pPr>
                <a:defRPr sz="1050" b="0" i="0" u="none" strike="noStrike" kern="1200" baseline="0">
                  <a:ln>
                    <a:noFill/>
                  </a:ln>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280949748264288"/>
          <c:y val="0.12668963100132868"/>
          <c:w val="0.74559413563870069"/>
          <c:h val="0.75945088300220753"/>
        </c:manualLayout>
      </c:layout>
      <c:barChart>
        <c:barDir val="col"/>
        <c:grouping val="clustered"/>
        <c:varyColors val="0"/>
        <c:ser>
          <c:idx val="0"/>
          <c:order val="0"/>
          <c:tx>
            <c:strRef>
              <c:f>Pivot!$K$11</c:f>
              <c:strCache>
                <c:ptCount val="1"/>
                <c:pt idx="0">
                  <c:v>Total</c:v>
                </c:pt>
              </c:strCache>
            </c:strRef>
          </c:tx>
          <c:spPr>
            <a:solidFill>
              <a:schemeClr val="accent4">
                <a:tint val="77000"/>
              </a:schemeClr>
            </a:solidFill>
            <a:ln w="19050">
              <a:solidFill>
                <a:schemeClr val="lt1"/>
              </a:solidFill>
            </a:ln>
            <a:effectLst/>
          </c:spPr>
          <c:invertIfNegative val="0"/>
          <c:dLbls>
            <c:spPr>
              <a:noFill/>
              <a:ln>
                <a:noFill/>
              </a:ln>
              <a:effectLst/>
            </c:spPr>
            <c:txPr>
              <a:bodyPr rot="0" spcFirstLastPara="1" vertOverflow="overflow" horzOverflow="overflow" vert="horz" wrap="square" lIns="0" tIns="19050" rIns="38100" bIns="19050" anchor="t" anchorCtr="0">
                <a:spAutoFit/>
              </a:bodyPr>
              <a:lstStyle/>
              <a:p>
                <a:pPr>
                  <a:defRPr sz="1050" b="0" i="0" u="none" strike="noStrike" kern="1200" baseline="0">
                    <a:ln>
                      <a:noFill/>
                    </a:ln>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Pivot!$J$12:$J$16</c:f>
              <c:strCache>
                <c:ptCount val="4"/>
                <c:pt idx="0">
                  <c:v>Line C - Assembly</c:v>
                </c:pt>
                <c:pt idx="1">
                  <c:v>Line B - Midsole</c:v>
                </c:pt>
                <c:pt idx="2">
                  <c:v>Line D - Molding</c:v>
                </c:pt>
                <c:pt idx="3">
                  <c:v>Line A - Outsole</c:v>
                </c:pt>
              </c:strCache>
            </c:strRef>
          </c:cat>
          <c:val>
            <c:numRef>
              <c:f>Pivot!$K$12:$K$16</c:f>
              <c:numCache>
                <c:formatCode>0.0\%</c:formatCode>
                <c:ptCount val="4"/>
                <c:pt idx="0">
                  <c:v>92.127214170692426</c:v>
                </c:pt>
                <c:pt idx="1">
                  <c:v>91.971252566735117</c:v>
                </c:pt>
                <c:pt idx="2">
                  <c:v>91.711148648648646</c:v>
                </c:pt>
                <c:pt idx="3">
                  <c:v>90.785714285714292</c:v>
                </c:pt>
              </c:numCache>
            </c:numRef>
          </c:val>
          <c:extLst>
            <c:ext xmlns:c16="http://schemas.microsoft.com/office/drawing/2014/chart" uri="{C3380CC4-5D6E-409C-BE32-E72D297353CC}">
              <c16:uniqueId val="{00000005-A8AD-4C46-9EB3-97E4007079EF}"/>
            </c:ext>
          </c:extLst>
        </c:ser>
        <c:dLbls>
          <c:showLegendKey val="0"/>
          <c:showVal val="0"/>
          <c:showCatName val="0"/>
          <c:showSerName val="0"/>
          <c:showPercent val="0"/>
          <c:showBubbleSize val="0"/>
        </c:dLbls>
        <c:gapWidth val="150"/>
        <c:axId val="1745045168"/>
        <c:axId val="1745040368"/>
      </c:barChart>
      <c:catAx>
        <c:axId val="174504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45040368"/>
        <c:crosses val="autoZero"/>
        <c:auto val="1"/>
        <c:lblAlgn val="ctr"/>
        <c:lblOffset val="100"/>
        <c:noMultiLvlLbl val="0"/>
      </c:catAx>
      <c:valAx>
        <c:axId val="1745040368"/>
        <c:scaling>
          <c:orientation val="minMax"/>
        </c:scaling>
        <c:delete val="1"/>
        <c:axPos val="l"/>
        <c:numFmt formatCode="0.0\%" sourceLinked="1"/>
        <c:majorTickMark val="out"/>
        <c:minorTickMark val="none"/>
        <c:tickLblPos val="nextTo"/>
        <c:crossAx val="1745045168"/>
        <c:crosses val="autoZero"/>
        <c:crossBetween val="between"/>
      </c:valAx>
      <c:spPr>
        <a:noFill/>
        <a:ln>
          <a:solidFill>
            <a:schemeClr val="accent1"/>
          </a:solid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[Production-Quality-Performance-Dashboard.xlsx]Pivot!PivotTable11</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Pivot!$N$16</c:f>
              <c:strCache>
                <c:ptCount val="1"/>
                <c:pt idx="0">
                  <c:v>Total</c:v>
                </c:pt>
              </c:strCache>
            </c:strRef>
          </c:tx>
          <c:spPr>
            <a:solidFill>
              <a:schemeClr val="accent1"/>
            </a:solidFill>
            <a:ln>
              <a:noFill/>
            </a:ln>
            <a:effectLst/>
          </c:spPr>
          <c:invertIfNegative val="0"/>
          <c:cat>
            <c:strRef>
              <c:f>Pivot!$M$17:$M$20</c:f>
              <c:strCache>
                <c:ptCount val="3"/>
                <c:pt idx="0">
                  <c:v>Completed</c:v>
                </c:pt>
                <c:pt idx="1">
                  <c:v>In Progress</c:v>
                </c:pt>
                <c:pt idx="2">
                  <c:v>Pending Verification</c:v>
                </c:pt>
              </c:strCache>
            </c:strRef>
          </c:cat>
          <c:val>
            <c:numRef>
              <c:f>Pivot!$N$17:$N$20</c:f>
              <c:numCache>
                <c:formatCode>General</c:formatCode>
                <c:ptCount val="3"/>
                <c:pt idx="0">
                  <c:v>127</c:v>
                </c:pt>
                <c:pt idx="1">
                  <c:v>33</c:v>
                </c:pt>
                <c:pt idx="2">
                  <c:v>21</c:v>
                </c:pt>
              </c:numCache>
            </c:numRef>
          </c:val>
          <c:extLst>
            <c:ext xmlns:c16="http://schemas.microsoft.com/office/drawing/2014/chart" uri="{C3380CC4-5D6E-409C-BE32-E72D297353CC}">
              <c16:uniqueId val="{00000000-528A-492C-AC04-C222E74E2474}"/>
            </c:ext>
          </c:extLst>
        </c:ser>
        <c:dLbls>
          <c:showLegendKey val="0"/>
          <c:showVal val="0"/>
          <c:showCatName val="0"/>
          <c:showSerName val="0"/>
          <c:showPercent val="0"/>
          <c:showBubbleSize val="0"/>
        </c:dLbls>
        <c:gapWidth val="219"/>
        <c:overlap val="-27"/>
        <c:axId val="2061798399"/>
        <c:axId val="2061817119"/>
      </c:barChart>
      <c:catAx>
        <c:axId val="206179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817119"/>
        <c:crosses val="autoZero"/>
        <c:auto val="1"/>
        <c:lblAlgn val="ctr"/>
        <c:lblOffset val="100"/>
        <c:noMultiLvlLbl val="0"/>
      </c:catAx>
      <c:valAx>
        <c:axId val="206181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79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[Production-Quality-Performance-Dashboard.xlsx]Pivot!PivotTable3</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j-lt"/>
                <a:ea typeface="+mn-ea"/>
                <a:cs typeface="+mn-cs"/>
              </a:defRPr>
            </a:pPr>
            <a:r>
              <a:rPr lang="en-US" sz="1400" b="1">
                <a:latin typeface="+mj-lt"/>
              </a:rPr>
              <a:t>Production Volume: Target vs actual (Pairs)</a:t>
            </a:r>
          </a:p>
        </c:rich>
      </c:tx>
      <c:layout>
        <c:manualLayout>
          <c:xMode val="edge"/>
          <c:yMode val="edge"/>
          <c:x val="0.25480900574406901"/>
          <c:y val="5.434541324177343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j-lt"/>
              <a:ea typeface="+mn-ea"/>
              <a:cs typeface="+mn-cs"/>
            </a:defRPr>
          </a:pPr>
          <a:endParaRPr lang="en-US"/>
        </a:p>
      </c:txPr>
    </c:title>
    <c:autoTitleDeleted val="0"/>
    <c:pivotFmts>
      <c:pivotFmt>
        <c:idx val="0"/>
        <c:spPr>
          <a:solidFill>
            <a:schemeClr val="bg1">
              <a:lumMod val="8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15407855356365E-2"/>
          <c:y val="0.13323855351414407"/>
          <c:w val="0.8113521137798213"/>
          <c:h val="0.648050075201274"/>
        </c:manualLayout>
      </c:layout>
      <c:barChart>
        <c:barDir val="col"/>
        <c:grouping val="clustered"/>
        <c:varyColors val="0"/>
        <c:ser>
          <c:idx val="0"/>
          <c:order val="0"/>
          <c:tx>
            <c:strRef>
              <c:f>Pivot!$B$1</c:f>
              <c:strCache>
                <c:ptCount val="1"/>
                <c:pt idx="0">
                  <c:v>Total Target (Pairs)</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Pivot!$A$2:$A$18</c:f>
              <c:multiLvlStrCache>
                <c:ptCount val="12"/>
                <c:lvl>
                  <c:pt idx="0">
                    <c:v>Shift 1</c:v>
                  </c:pt>
                  <c:pt idx="1">
                    <c:v>Shift 2</c:v>
                  </c:pt>
                  <c:pt idx="2">
                    <c:v>Shift 3</c:v>
                  </c:pt>
                  <c:pt idx="3">
                    <c:v>Shift 1</c:v>
                  </c:pt>
                  <c:pt idx="4">
                    <c:v>Shift 2</c:v>
                  </c:pt>
                  <c:pt idx="5">
                    <c:v>Shift 3</c:v>
                  </c:pt>
                  <c:pt idx="6">
                    <c:v>Shift 1</c:v>
                  </c:pt>
                  <c:pt idx="7">
                    <c:v>Shift 2</c:v>
                  </c:pt>
                  <c:pt idx="8">
                    <c:v>Shift 3</c:v>
                  </c:pt>
                  <c:pt idx="9">
                    <c:v>Shift 1</c:v>
                  </c:pt>
                  <c:pt idx="10">
                    <c:v>Shift 2</c:v>
                  </c:pt>
                  <c:pt idx="11">
                    <c:v>Shift 3</c:v>
                  </c:pt>
                </c:lvl>
                <c:lvl>
                  <c:pt idx="0">
                    <c:v>Line A - Outsole</c:v>
                  </c:pt>
                  <c:pt idx="3">
                    <c:v>Line B - Midsole</c:v>
                  </c:pt>
                  <c:pt idx="6">
                    <c:v>Line C - Assembly</c:v>
                  </c:pt>
                  <c:pt idx="9">
                    <c:v>Line D - Molding</c:v>
                  </c:pt>
                </c:lvl>
              </c:multiLvlStrCache>
            </c:multiLvlStrRef>
          </c:cat>
          <c:val>
            <c:numRef>
              <c:f>Pivot!$B$2:$B$18</c:f>
              <c:numCache>
                <c:formatCode>#,##0</c:formatCode>
                <c:ptCount val="12"/>
                <c:pt idx="0">
                  <c:v>15800</c:v>
                </c:pt>
                <c:pt idx="1">
                  <c:v>19000</c:v>
                </c:pt>
                <c:pt idx="2">
                  <c:v>17000</c:v>
                </c:pt>
                <c:pt idx="3">
                  <c:v>10600</c:v>
                </c:pt>
                <c:pt idx="4">
                  <c:v>18800</c:v>
                </c:pt>
                <c:pt idx="5">
                  <c:v>19300</c:v>
                </c:pt>
                <c:pt idx="6">
                  <c:v>30600</c:v>
                </c:pt>
                <c:pt idx="7">
                  <c:v>19500</c:v>
                </c:pt>
                <c:pt idx="8">
                  <c:v>12000</c:v>
                </c:pt>
                <c:pt idx="9">
                  <c:v>19700</c:v>
                </c:pt>
                <c:pt idx="10">
                  <c:v>21900</c:v>
                </c:pt>
                <c:pt idx="11">
                  <c:v>17600</c:v>
                </c:pt>
              </c:numCache>
            </c:numRef>
          </c:val>
          <c:extLst>
            <c:ext xmlns:c16="http://schemas.microsoft.com/office/drawing/2014/chart" uri="{C3380CC4-5D6E-409C-BE32-E72D297353CC}">
              <c16:uniqueId val="{00000000-7404-4ADF-B408-821E218F28CD}"/>
            </c:ext>
          </c:extLst>
        </c:ser>
        <c:ser>
          <c:idx val="1"/>
          <c:order val="1"/>
          <c:tx>
            <c:strRef>
              <c:f>Pivot!$C$1</c:f>
              <c:strCache>
                <c:ptCount val="1"/>
                <c:pt idx="0">
                  <c:v>Total Actual (Pairs)</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Pivot!$A$2:$A$18</c:f>
              <c:multiLvlStrCache>
                <c:ptCount val="12"/>
                <c:lvl>
                  <c:pt idx="0">
                    <c:v>Shift 1</c:v>
                  </c:pt>
                  <c:pt idx="1">
                    <c:v>Shift 2</c:v>
                  </c:pt>
                  <c:pt idx="2">
                    <c:v>Shift 3</c:v>
                  </c:pt>
                  <c:pt idx="3">
                    <c:v>Shift 1</c:v>
                  </c:pt>
                  <c:pt idx="4">
                    <c:v>Shift 2</c:v>
                  </c:pt>
                  <c:pt idx="5">
                    <c:v>Shift 3</c:v>
                  </c:pt>
                  <c:pt idx="6">
                    <c:v>Shift 1</c:v>
                  </c:pt>
                  <c:pt idx="7">
                    <c:v>Shift 2</c:v>
                  </c:pt>
                  <c:pt idx="8">
                    <c:v>Shift 3</c:v>
                  </c:pt>
                  <c:pt idx="9">
                    <c:v>Shift 1</c:v>
                  </c:pt>
                  <c:pt idx="10">
                    <c:v>Shift 2</c:v>
                  </c:pt>
                  <c:pt idx="11">
                    <c:v>Shift 3</c:v>
                  </c:pt>
                </c:lvl>
                <c:lvl>
                  <c:pt idx="0">
                    <c:v>Line A - Outsole</c:v>
                  </c:pt>
                  <c:pt idx="3">
                    <c:v>Line B - Midsole</c:v>
                  </c:pt>
                  <c:pt idx="6">
                    <c:v>Line C - Assembly</c:v>
                  </c:pt>
                  <c:pt idx="9">
                    <c:v>Line D - Molding</c:v>
                  </c:pt>
                </c:lvl>
              </c:multiLvlStrCache>
            </c:multiLvlStrRef>
          </c:cat>
          <c:val>
            <c:numRef>
              <c:f>Pivot!$C$2:$C$18</c:f>
              <c:numCache>
                <c:formatCode>#,##0</c:formatCode>
                <c:ptCount val="12"/>
                <c:pt idx="0">
                  <c:v>14422</c:v>
                </c:pt>
                <c:pt idx="1">
                  <c:v>17463</c:v>
                </c:pt>
                <c:pt idx="2">
                  <c:v>15142</c:v>
                </c:pt>
                <c:pt idx="3">
                  <c:v>9730</c:v>
                </c:pt>
                <c:pt idx="4">
                  <c:v>17378</c:v>
                </c:pt>
                <c:pt idx="5">
                  <c:v>17682</c:v>
                </c:pt>
                <c:pt idx="6">
                  <c:v>27978</c:v>
                </c:pt>
                <c:pt idx="7">
                  <c:v>18136</c:v>
                </c:pt>
                <c:pt idx="8">
                  <c:v>11097</c:v>
                </c:pt>
                <c:pt idx="9">
                  <c:v>18047</c:v>
                </c:pt>
                <c:pt idx="10">
                  <c:v>20078</c:v>
                </c:pt>
                <c:pt idx="11">
                  <c:v>16168</c:v>
                </c:pt>
              </c:numCache>
            </c:numRef>
          </c:val>
          <c:extLst>
            <c:ext xmlns:c16="http://schemas.microsoft.com/office/drawing/2014/chart" uri="{C3380CC4-5D6E-409C-BE32-E72D297353CC}">
              <c16:uniqueId val="{00000001-7404-4ADF-B408-821E218F28CD}"/>
            </c:ext>
          </c:extLst>
        </c:ser>
        <c:ser>
          <c:idx val="2"/>
          <c:order val="2"/>
          <c:tx>
            <c:strRef>
              <c:f>Pivot!$D$1</c:f>
              <c:strCache>
                <c:ptCount val="1"/>
                <c:pt idx="0">
                  <c:v>Sum of Target %</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Pivot!$A$2:$A$18</c:f>
              <c:multiLvlStrCache>
                <c:ptCount val="12"/>
                <c:lvl>
                  <c:pt idx="0">
                    <c:v>Shift 1</c:v>
                  </c:pt>
                  <c:pt idx="1">
                    <c:v>Shift 2</c:v>
                  </c:pt>
                  <c:pt idx="2">
                    <c:v>Shift 3</c:v>
                  </c:pt>
                  <c:pt idx="3">
                    <c:v>Shift 1</c:v>
                  </c:pt>
                  <c:pt idx="4">
                    <c:v>Shift 2</c:v>
                  </c:pt>
                  <c:pt idx="5">
                    <c:v>Shift 3</c:v>
                  </c:pt>
                  <c:pt idx="6">
                    <c:v>Shift 1</c:v>
                  </c:pt>
                  <c:pt idx="7">
                    <c:v>Shift 2</c:v>
                  </c:pt>
                  <c:pt idx="8">
                    <c:v>Shift 3</c:v>
                  </c:pt>
                  <c:pt idx="9">
                    <c:v>Shift 1</c:v>
                  </c:pt>
                  <c:pt idx="10">
                    <c:v>Shift 2</c:v>
                  </c:pt>
                  <c:pt idx="11">
                    <c:v>Shift 3</c:v>
                  </c:pt>
                </c:lvl>
                <c:lvl>
                  <c:pt idx="0">
                    <c:v>Line A - Outsole</c:v>
                  </c:pt>
                  <c:pt idx="3">
                    <c:v>Line B - Midsole</c:v>
                  </c:pt>
                  <c:pt idx="6">
                    <c:v>Line C - Assembly</c:v>
                  </c:pt>
                  <c:pt idx="9">
                    <c:v>Line D - Molding</c:v>
                  </c:pt>
                </c:lvl>
              </c:multiLvlStrCache>
            </c:multiLvlStrRef>
          </c:cat>
          <c:val>
            <c:numRef>
              <c:f>Pivot!$D$2:$D$18</c:f>
              <c:numCache>
                <c:formatCode>0.0%</c:formatCode>
                <c:ptCount val="12"/>
                <c:pt idx="0">
                  <c:v>0.9127848101265823</c:v>
                </c:pt>
                <c:pt idx="1">
                  <c:v>0.91910526315789476</c:v>
                </c:pt>
                <c:pt idx="2">
                  <c:v>0.89070588235294113</c:v>
                </c:pt>
                <c:pt idx="3">
                  <c:v>0.91792452830188676</c:v>
                </c:pt>
                <c:pt idx="4">
                  <c:v>0.92436170212765956</c:v>
                </c:pt>
                <c:pt idx="5">
                  <c:v>0.91616580310880824</c:v>
                </c:pt>
                <c:pt idx="6">
                  <c:v>0.91431372549019607</c:v>
                </c:pt>
                <c:pt idx="7">
                  <c:v>0.93005128205128207</c:v>
                </c:pt>
                <c:pt idx="8">
                  <c:v>0.92474999999999996</c:v>
                </c:pt>
                <c:pt idx="9">
                  <c:v>0.91609137055837564</c:v>
                </c:pt>
                <c:pt idx="10">
                  <c:v>0.91680365296803656</c:v>
                </c:pt>
                <c:pt idx="11">
                  <c:v>0.91863636363636358</c:v>
                </c:pt>
              </c:numCache>
            </c:numRef>
          </c:val>
          <c:extLst>
            <c:ext xmlns:c16="http://schemas.microsoft.com/office/drawing/2014/chart" uri="{C3380CC4-5D6E-409C-BE32-E72D297353CC}">
              <c16:uniqueId val="{00000003-7404-4ADF-B408-821E218F28CD}"/>
            </c:ext>
          </c:extLst>
        </c:ser>
        <c:dLbls>
          <c:dLblPos val="outEnd"/>
          <c:showLegendKey val="0"/>
          <c:showVal val="1"/>
          <c:showCatName val="0"/>
          <c:showSerName val="0"/>
          <c:showPercent val="0"/>
          <c:showBubbleSize val="0"/>
        </c:dLbls>
        <c:gapWidth val="219"/>
        <c:overlap val="-27"/>
        <c:axId val="159407040"/>
        <c:axId val="159406080"/>
      </c:barChart>
      <c:catAx>
        <c:axId val="15940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406080"/>
        <c:crosses val="autoZero"/>
        <c:auto val="1"/>
        <c:lblAlgn val="ctr"/>
        <c:lblOffset val="100"/>
        <c:noMultiLvlLbl val="0"/>
      </c:catAx>
      <c:valAx>
        <c:axId val="159406080"/>
        <c:scaling>
          <c:orientation val="minMax"/>
        </c:scaling>
        <c:delete val="1"/>
        <c:axPos val="l"/>
        <c:numFmt formatCode="#,##0" sourceLinked="1"/>
        <c:majorTickMark val="none"/>
        <c:minorTickMark val="none"/>
        <c:tickLblPos val="nextTo"/>
        <c:crossAx val="159407040"/>
        <c:crosses val="autoZero"/>
        <c:crossBetween val="between"/>
      </c:valAx>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bg1">
          <a:lumMod val="75000"/>
        </a:schemeClr>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[Production-Quality-Performance-Dashboard.xlsx]Pivot!PivotTable4</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j-lt"/>
                <a:ea typeface="+mn-ea"/>
                <a:cs typeface="Times New Roman" panose="02020603050405020304" pitchFamily="18" charset="0"/>
              </a:defRPr>
            </a:pPr>
            <a:r>
              <a:rPr lang="en-US" sz="1400" b="1" i="0" u="none" strike="noStrike" baseline="0"/>
              <a:t>Total Defects by Type</a:t>
            </a:r>
            <a:endParaRPr lang="en-US" sz="1400" b="1">
              <a:solidFill>
                <a:schemeClr val="tx1"/>
              </a:solidFill>
              <a:latin typeface="+mj-lt"/>
              <a:cs typeface="Times New Roman" panose="02020603050405020304" pitchFamily="18" charset="0"/>
            </a:endParaRPr>
          </a:p>
        </c:rich>
      </c:tx>
      <c:layout>
        <c:manualLayout>
          <c:xMode val="edge"/>
          <c:yMode val="edge"/>
          <c:x val="0.23245126165066496"/>
          <c:y val="5.934913244302816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j-lt"/>
              <a:ea typeface="+mn-ea"/>
              <a:cs typeface="Times New Roman" panose="02020603050405020304" pitchFamily="18"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solidFill>
          <a:ln>
            <a:noFill/>
          </a:ln>
          <a:effectLst/>
        </c:spPr>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solidFill>
          <a:ln>
            <a:noFill/>
          </a:ln>
          <a:effectLst/>
        </c:spPr>
      </c:pivotFmt>
      <c:pivotFmt>
        <c:idx val="6"/>
        <c:spPr>
          <a:solidFill>
            <a:schemeClr val="accent4"/>
          </a:solidFill>
          <a:ln>
            <a:noFill/>
          </a:ln>
          <a:effectLst/>
        </c:spPr>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pivotFmt>
      <c:pivotFmt>
        <c:idx val="9"/>
        <c:spPr>
          <a:solidFill>
            <a:schemeClr val="accent4"/>
          </a:solidFill>
          <a:ln>
            <a:noFill/>
          </a:ln>
          <a:effectLst/>
        </c:spPr>
      </c:pivotFmt>
      <c:pivotFmt>
        <c:idx val="10"/>
        <c:spPr>
          <a:solidFill>
            <a:schemeClr val="accent4"/>
          </a:solidFill>
          <a:ln>
            <a:noFill/>
          </a:ln>
          <a:effectLst/>
        </c:spPr>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hade val="50000"/>
            </a:schemeClr>
          </a:solidFill>
          <a:ln>
            <a:noFill/>
          </a:ln>
          <a:effectLst/>
        </c:spPr>
      </c:pivotFmt>
      <c:pivotFmt>
        <c:idx val="16"/>
        <c:spPr>
          <a:solidFill>
            <a:schemeClr val="accent4">
              <a:shade val="70000"/>
            </a:schemeClr>
          </a:solidFill>
          <a:ln>
            <a:noFill/>
          </a:ln>
          <a:effectLst/>
        </c:spPr>
      </c:pivotFmt>
      <c:pivotFmt>
        <c:idx val="17"/>
        <c:spPr>
          <a:solidFill>
            <a:schemeClr val="accent4"/>
          </a:solidFill>
          <a:ln>
            <a:noFill/>
          </a:ln>
          <a:effectLst/>
        </c:spPr>
      </c:pivotFmt>
      <c:pivotFmt>
        <c:idx val="18"/>
        <c:spPr>
          <a:solidFill>
            <a:schemeClr val="accent4">
              <a:shade val="90000"/>
            </a:schemeClr>
          </a:solidFill>
          <a:ln>
            <a:noFill/>
          </a:ln>
          <a:effectLst/>
        </c:spPr>
      </c:pivotFmt>
      <c:pivotFmt>
        <c:idx val="19"/>
        <c:spPr>
          <a:solidFill>
            <a:schemeClr val="accent4">
              <a:tint val="70000"/>
            </a:schemeClr>
          </a:solidFill>
          <a:ln>
            <a:noFill/>
          </a:ln>
          <a:effectLst/>
        </c:spPr>
      </c:pivotFmt>
      <c:pivotFmt>
        <c:idx val="20"/>
        <c:spPr>
          <a:solidFill>
            <a:schemeClr val="accent4"/>
          </a:solidFill>
          <a:ln>
            <a:noFill/>
          </a:ln>
          <a:effectLst/>
        </c:spPr>
      </c:pivotFmt>
    </c:pivotFmts>
    <c:plotArea>
      <c:layout/>
      <c:barChart>
        <c:barDir val="bar"/>
        <c:grouping val="clustered"/>
        <c:varyColors val="1"/>
        <c:ser>
          <c:idx val="0"/>
          <c:order val="0"/>
          <c:tx>
            <c:strRef>
              <c:f>Pivot!$B$22</c:f>
              <c:strCache>
                <c:ptCount val="1"/>
                <c:pt idx="0">
                  <c:v>Total</c:v>
                </c:pt>
              </c:strCache>
            </c:strRef>
          </c:tx>
          <c:invertIfNegative val="0"/>
          <c:dPt>
            <c:idx val="0"/>
            <c:invertIfNegative val="0"/>
            <c:bubble3D val="0"/>
            <c:spPr>
              <a:solidFill>
                <a:schemeClr val="accent4">
                  <a:shade val="50000"/>
                </a:schemeClr>
              </a:solidFill>
              <a:ln>
                <a:noFill/>
              </a:ln>
              <a:effectLst/>
            </c:spPr>
            <c:extLst>
              <c:ext xmlns:c16="http://schemas.microsoft.com/office/drawing/2014/chart" uri="{C3380CC4-5D6E-409C-BE32-E72D297353CC}">
                <c16:uniqueId val="{00000001-9CCB-46D3-A29A-F2C5E5451B7A}"/>
              </c:ext>
            </c:extLst>
          </c:dPt>
          <c:dPt>
            <c:idx val="1"/>
            <c:invertIfNegative val="0"/>
            <c:bubble3D val="0"/>
            <c:spPr>
              <a:solidFill>
                <a:schemeClr val="accent4">
                  <a:shade val="70000"/>
                </a:schemeClr>
              </a:solidFill>
              <a:ln>
                <a:noFill/>
              </a:ln>
              <a:effectLst/>
            </c:spPr>
            <c:extLst>
              <c:ext xmlns:c16="http://schemas.microsoft.com/office/drawing/2014/chart" uri="{C3380CC4-5D6E-409C-BE32-E72D297353CC}">
                <c16:uniqueId val="{00000003-9CCB-46D3-A29A-F2C5E5451B7A}"/>
              </c:ext>
            </c:extLst>
          </c:dPt>
          <c:dPt>
            <c:idx val="2"/>
            <c:invertIfNegative val="0"/>
            <c:bubble3D val="0"/>
            <c:spPr>
              <a:solidFill>
                <a:schemeClr val="accent4">
                  <a:shade val="90000"/>
                </a:schemeClr>
              </a:solidFill>
              <a:ln>
                <a:noFill/>
              </a:ln>
              <a:effectLst/>
            </c:spPr>
            <c:extLst>
              <c:ext xmlns:c16="http://schemas.microsoft.com/office/drawing/2014/chart" uri="{C3380CC4-5D6E-409C-BE32-E72D297353CC}">
                <c16:uniqueId val="{00000005-9CCB-46D3-A29A-F2C5E5451B7A}"/>
              </c:ext>
            </c:extLst>
          </c:dPt>
          <c:dPt>
            <c:idx val="3"/>
            <c:invertIfNegative val="0"/>
            <c:bubble3D val="0"/>
            <c:spPr>
              <a:solidFill>
                <a:schemeClr val="accent4">
                  <a:tint val="90000"/>
                </a:schemeClr>
              </a:solidFill>
              <a:ln>
                <a:noFill/>
              </a:ln>
              <a:effectLst/>
            </c:spPr>
            <c:extLst>
              <c:ext xmlns:c16="http://schemas.microsoft.com/office/drawing/2014/chart" uri="{C3380CC4-5D6E-409C-BE32-E72D297353CC}">
                <c16:uniqueId val="{00000007-9CCB-46D3-A29A-F2C5E5451B7A}"/>
              </c:ext>
            </c:extLst>
          </c:dPt>
          <c:dPt>
            <c:idx val="4"/>
            <c:invertIfNegative val="0"/>
            <c:bubble3D val="0"/>
            <c:spPr>
              <a:solidFill>
                <a:schemeClr val="accent4">
                  <a:tint val="70000"/>
                </a:schemeClr>
              </a:solidFill>
              <a:ln>
                <a:noFill/>
              </a:ln>
              <a:effectLst/>
            </c:spPr>
            <c:extLst>
              <c:ext xmlns:c16="http://schemas.microsoft.com/office/drawing/2014/chart" uri="{C3380CC4-5D6E-409C-BE32-E72D297353CC}">
                <c16:uniqueId val="{00000009-9CCB-46D3-A29A-F2C5E5451B7A}"/>
              </c:ext>
            </c:extLst>
          </c:dPt>
          <c:dPt>
            <c:idx val="5"/>
            <c:invertIfNegative val="0"/>
            <c:bubble3D val="0"/>
            <c:spPr>
              <a:solidFill>
                <a:schemeClr val="accent4">
                  <a:tint val="50000"/>
                </a:schemeClr>
              </a:solidFill>
              <a:ln>
                <a:noFill/>
              </a:ln>
              <a:effectLst/>
            </c:spPr>
            <c:extLst>
              <c:ext xmlns:c16="http://schemas.microsoft.com/office/drawing/2014/chart" uri="{C3380CC4-5D6E-409C-BE32-E72D297353CC}">
                <c16:uniqueId val="{0000000B-9CCB-46D3-A29A-F2C5E5451B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Pivot!$A$23:$A$28</c:f>
              <c:strCache>
                <c:ptCount val="6"/>
                <c:pt idx="0">
                  <c:v>Unbonding/Peeling</c:v>
                </c:pt>
                <c:pt idx="1">
                  <c:v>Air Bubble</c:v>
                </c:pt>
                <c:pt idx="2">
                  <c:v>Scratches/Marks</c:v>
                </c:pt>
                <c:pt idx="3">
                  <c:v>Flash/Over-overflow</c:v>
                </c:pt>
                <c:pt idx="4">
                  <c:v>Deformation</c:v>
                </c:pt>
                <c:pt idx="5">
                  <c:v>Under-cure</c:v>
                </c:pt>
              </c:strCache>
            </c:strRef>
          </c:cat>
          <c:val>
            <c:numRef>
              <c:f>Pivot!$B$23:$B$28</c:f>
              <c:numCache>
                <c:formatCode>#,##0</c:formatCode>
                <c:ptCount val="6"/>
                <c:pt idx="0">
                  <c:v>1642</c:v>
                </c:pt>
                <c:pt idx="1">
                  <c:v>1127</c:v>
                </c:pt>
                <c:pt idx="2">
                  <c:v>699</c:v>
                </c:pt>
                <c:pt idx="3">
                  <c:v>602</c:v>
                </c:pt>
                <c:pt idx="4">
                  <c:v>475</c:v>
                </c:pt>
                <c:pt idx="5">
                  <c:v>389</c:v>
                </c:pt>
              </c:numCache>
            </c:numRef>
          </c:val>
          <c:extLst>
            <c:ext xmlns:c16="http://schemas.microsoft.com/office/drawing/2014/chart" uri="{C3380CC4-5D6E-409C-BE32-E72D297353CC}">
              <c16:uniqueId val="{0000000C-9CCB-46D3-A29A-F2C5E5451B7A}"/>
            </c:ext>
          </c:extLst>
        </c:ser>
        <c:dLbls>
          <c:dLblPos val="outEnd"/>
          <c:showLegendKey val="0"/>
          <c:showVal val="1"/>
          <c:showCatName val="0"/>
          <c:showSerName val="0"/>
          <c:showPercent val="0"/>
          <c:showBubbleSize val="0"/>
        </c:dLbls>
        <c:gapWidth val="182"/>
        <c:axId val="97101104"/>
        <c:axId val="97103504"/>
      </c:barChart>
      <c:catAx>
        <c:axId val="971011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03504"/>
        <c:crosses val="autoZero"/>
        <c:auto val="1"/>
        <c:lblAlgn val="ctr"/>
        <c:lblOffset val="100"/>
        <c:noMultiLvlLbl val="0"/>
      </c:catAx>
      <c:valAx>
        <c:axId val="97103504"/>
        <c:scaling>
          <c:orientation val="minMax"/>
        </c:scaling>
        <c:delete val="1"/>
        <c:axPos val="t"/>
        <c:numFmt formatCode="#,##0" sourceLinked="1"/>
        <c:majorTickMark val="none"/>
        <c:minorTickMark val="none"/>
        <c:tickLblPos val="nextTo"/>
        <c:crossAx val="9710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[Production-Quality-Performance-Dashboard.xlsx]Pivot!PivotTable8</c:name>
    <c:fmtId val="5"/>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j-lt"/>
                <a:ea typeface="+mn-ea"/>
                <a:cs typeface="+mn-cs"/>
              </a:defRPr>
            </a:pPr>
            <a:r>
              <a:rPr lang="en-US" sz="1400" b="1" i="0" u="none" strike="noStrike" baseline="0">
                <a:solidFill>
                  <a:sysClr val="windowText" lastClr="000000"/>
                </a:solidFill>
              </a:rPr>
              <a:t>Monthly Production Trend </a:t>
            </a:r>
          </a:p>
          <a:p>
            <a:pPr>
              <a:defRPr sz="1400">
                <a:solidFill>
                  <a:sysClr val="windowText" lastClr="000000"/>
                </a:solidFill>
                <a:latin typeface="+mj-lt"/>
              </a:defRPr>
            </a:pPr>
            <a:r>
              <a:rPr lang="en-US" sz="1400">
                <a:solidFill>
                  <a:sysClr val="windowText" lastClr="000000"/>
                </a:solidFill>
                <a:latin typeface="+mj-lt"/>
              </a:rPr>
              <a:t>(January - June</a:t>
            </a:r>
            <a:r>
              <a:rPr lang="en-US" sz="1400" baseline="0">
                <a:solidFill>
                  <a:sysClr val="windowText" lastClr="000000"/>
                </a:solidFill>
                <a:latin typeface="+mj-lt"/>
              </a:rPr>
              <a:t> </a:t>
            </a:r>
            <a:r>
              <a:rPr lang="en-US" sz="1400">
                <a:solidFill>
                  <a:sysClr val="windowText" lastClr="000000"/>
                </a:solidFill>
                <a:latin typeface="+mj-lt"/>
              </a:rPr>
              <a:t>2026)</a:t>
            </a:r>
          </a:p>
        </c:rich>
      </c:tx>
      <c:layout>
        <c:manualLayout>
          <c:xMode val="edge"/>
          <c:yMode val="edge"/>
          <c:x val="0.20541965040761379"/>
          <c:y val="3.816076452407504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4">
                <a:lumMod val="7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4">
                <a:lumMod val="7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4"/>
        <c:spPr>
          <a:ln w="31750" cap="rnd">
            <a:solidFill>
              <a:schemeClr val="accent4">
                <a:lumMod val="7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5"/>
        <c:spPr>
          <a:ln w="31750" cap="rnd">
            <a:solidFill>
              <a:schemeClr val="accent4">
                <a:lumMod val="7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6"/>
        <c:spPr>
          <a:ln w="31750" cap="rnd">
            <a:solidFill>
              <a:schemeClr val="accent4">
                <a:lumMod val="7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
        <c:idx val="7"/>
        <c:spPr>
          <a:ln w="31750" cap="rnd">
            <a:solidFill>
              <a:schemeClr val="accent4">
                <a:lumMod val="7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s>
    <c:plotArea>
      <c:layout>
        <c:manualLayout>
          <c:layoutTarget val="inner"/>
          <c:xMode val="edge"/>
          <c:yMode val="edge"/>
          <c:x val="7.0380040718489204E-2"/>
          <c:y val="0.19347929063877034"/>
          <c:w val="0.89795712826335394"/>
          <c:h val="0.67066721224952108"/>
        </c:manualLayout>
      </c:layout>
      <c:lineChart>
        <c:grouping val="standard"/>
        <c:varyColors val="0"/>
        <c:ser>
          <c:idx val="0"/>
          <c:order val="0"/>
          <c:tx>
            <c:strRef>
              <c:f>Pivot!$B$37</c:f>
              <c:strCache>
                <c:ptCount val="1"/>
                <c:pt idx="0">
                  <c:v>Total</c:v>
                </c:pt>
              </c:strCache>
            </c:strRef>
          </c:tx>
          <c:spPr>
            <a:ln w="31750" cap="rnd">
              <a:solidFill>
                <a:schemeClr val="accent4">
                  <a:lumMod val="75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4">
                    <a:lumMod val="75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8E7D-4BEF-8B2D-3033685F3FA2}"/>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4">
                    <a:lumMod val="75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0-177F-4C34-8031-5F57F1CD9182}"/>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4">
                    <a:lumMod val="75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177F-4C34-8031-5F57F1CD9182}"/>
              </c:ext>
            </c:extLst>
          </c:dPt>
          <c:dPt>
            <c:idx val="4"/>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spPr>
              <a:ln w="31750" cap="rnd">
                <a:solidFill>
                  <a:schemeClr val="accent4">
                    <a:lumMod val="75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177F-4C34-8031-5F57F1CD9182}"/>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Pivot!$A$38:$A$44</c:f>
              <c:strCache>
                <c:ptCount val="6"/>
                <c:pt idx="0">
                  <c:v>Jan</c:v>
                </c:pt>
                <c:pt idx="1">
                  <c:v>Feb</c:v>
                </c:pt>
                <c:pt idx="2">
                  <c:v>Mar</c:v>
                </c:pt>
                <c:pt idx="3">
                  <c:v>Apr</c:v>
                </c:pt>
                <c:pt idx="4">
                  <c:v>Mei</c:v>
                </c:pt>
                <c:pt idx="5">
                  <c:v>Jun</c:v>
                </c:pt>
              </c:strCache>
            </c:strRef>
          </c:cat>
          <c:val>
            <c:numRef>
              <c:f>Pivot!$B$38:$B$44</c:f>
              <c:numCache>
                <c:formatCode>#,##0</c:formatCode>
                <c:ptCount val="6"/>
                <c:pt idx="0">
                  <c:v>34499</c:v>
                </c:pt>
                <c:pt idx="1">
                  <c:v>33387</c:v>
                </c:pt>
                <c:pt idx="2">
                  <c:v>33963</c:v>
                </c:pt>
                <c:pt idx="3">
                  <c:v>34165</c:v>
                </c:pt>
                <c:pt idx="4">
                  <c:v>33925</c:v>
                </c:pt>
                <c:pt idx="5">
                  <c:v>33382</c:v>
                </c:pt>
              </c:numCache>
            </c:numRef>
          </c:val>
          <c:smooth val="0"/>
          <c:extLst>
            <c:ext xmlns:c16="http://schemas.microsoft.com/office/drawing/2014/chart" uri="{C3380CC4-5D6E-409C-BE32-E72D297353CC}">
              <c16:uniqueId val="{00000000-8E7D-4BEF-8B2D-3033685F3FA2}"/>
            </c:ext>
          </c:extLst>
        </c:ser>
        <c:dLbls>
          <c:dLblPos val="ctr"/>
          <c:showLegendKey val="0"/>
          <c:showVal val="1"/>
          <c:showCatName val="0"/>
          <c:showSerName val="0"/>
          <c:showPercent val="0"/>
          <c:showBubbleSize val="0"/>
        </c:dLbls>
        <c:marker val="1"/>
        <c:smooth val="0"/>
        <c:axId val="150553216"/>
        <c:axId val="150561376"/>
      </c:lineChart>
      <c:catAx>
        <c:axId val="15055321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61376"/>
        <c:crosses val="autoZero"/>
        <c:auto val="1"/>
        <c:lblAlgn val="ctr"/>
        <c:lblOffset val="100"/>
        <c:noMultiLvlLbl val="0"/>
      </c:catAx>
      <c:valAx>
        <c:axId val="150561376"/>
        <c:scaling>
          <c:orientation val="minMax"/>
        </c:scaling>
        <c:delete val="1"/>
        <c:axPos val="l"/>
        <c:numFmt formatCode="#,##0" sourceLinked="1"/>
        <c:majorTickMark val="none"/>
        <c:minorTickMark val="none"/>
        <c:tickLblPos val="nextTo"/>
        <c:crossAx val="15055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[Production-Quality-Performance-Dashboard.xlsx]Pivot!PivotTable9</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j-lt"/>
                <a:ea typeface="+mn-ea"/>
                <a:cs typeface="+mn-cs"/>
              </a:defRPr>
            </a:pPr>
            <a:r>
              <a:rPr lang="en-US" sz="1400" b="1" i="0" u="none" strike="noStrike" baseline="0">
                <a:solidFill>
                  <a:sysClr val="windowText" lastClr="000000"/>
                </a:solidFill>
                <a:latin typeface="+mj-lt"/>
              </a:rPr>
              <a:t>Pareto Analysis: Defect Improvement Priorities</a:t>
            </a:r>
            <a:r>
              <a:rPr lang="en-US" sz="1400" b="0" i="0" u="none" strike="noStrike" baseline="0">
                <a:solidFill>
                  <a:sysClr val="windowText" lastClr="000000"/>
                </a:solidFill>
                <a:latin typeface="+mj-lt"/>
              </a:rPr>
              <a:t> </a:t>
            </a:r>
            <a:endParaRPr lang="en-US" sz="1400" b="1">
              <a:solidFill>
                <a:sysClr val="windowText" lastClr="000000"/>
              </a:solidFill>
              <a:latin typeface="+mj-lt"/>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j-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tint val="77000"/>
              </a:schemeClr>
            </a:solidFill>
            <a:round/>
          </a:ln>
          <a:effectLst/>
        </c:spPr>
        <c:marker>
          <c:symbol val="none"/>
        </c:marker>
      </c:pivotFmt>
      <c:pivotFmt>
        <c:idx val="9"/>
        <c:spPr>
          <a:ln w="28575" cap="rnd">
            <a:solidFill>
              <a:schemeClr val="accent4">
                <a:tint val="77000"/>
              </a:schemeClr>
            </a:solidFill>
            <a:round/>
          </a:ln>
          <a:effectLst/>
        </c:spPr>
        <c:marker>
          <c:symbol val="none"/>
        </c:marker>
      </c:pivotFmt>
    </c:pivotFmts>
    <c:plotArea>
      <c:layout>
        <c:manualLayout>
          <c:layoutTarget val="inner"/>
          <c:xMode val="edge"/>
          <c:yMode val="edge"/>
          <c:x val="0.10281400830575547"/>
          <c:y val="0.15658709833757312"/>
          <c:w val="0.77376885618473457"/>
          <c:h val="0.51327852758203873"/>
        </c:manualLayout>
      </c:layout>
      <c:barChart>
        <c:barDir val="col"/>
        <c:grouping val="clustered"/>
        <c:varyColors val="0"/>
        <c:ser>
          <c:idx val="0"/>
          <c:order val="0"/>
          <c:tx>
            <c:strRef>
              <c:f>Pivot!$G$37</c:f>
              <c:strCache>
                <c:ptCount val="1"/>
                <c:pt idx="0">
                  <c:v>Sum of Defect Qty (Pairs)2</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Pivot!$F$38:$F$44</c:f>
              <c:strCache>
                <c:ptCount val="6"/>
                <c:pt idx="0">
                  <c:v>Unbonding/Peeling</c:v>
                </c:pt>
                <c:pt idx="1">
                  <c:v>Air Bubble</c:v>
                </c:pt>
                <c:pt idx="2">
                  <c:v>Scratches/Marks</c:v>
                </c:pt>
                <c:pt idx="3">
                  <c:v>Flash/Over-overflow</c:v>
                </c:pt>
                <c:pt idx="4">
                  <c:v>Deformation</c:v>
                </c:pt>
                <c:pt idx="5">
                  <c:v>Under-cure</c:v>
                </c:pt>
              </c:strCache>
            </c:strRef>
          </c:cat>
          <c:val>
            <c:numRef>
              <c:f>Pivot!$G$38:$G$44</c:f>
              <c:numCache>
                <c:formatCode>#,##0</c:formatCode>
                <c:ptCount val="6"/>
                <c:pt idx="0">
                  <c:v>1642</c:v>
                </c:pt>
                <c:pt idx="1">
                  <c:v>1127</c:v>
                </c:pt>
                <c:pt idx="2">
                  <c:v>699</c:v>
                </c:pt>
                <c:pt idx="3">
                  <c:v>602</c:v>
                </c:pt>
                <c:pt idx="4">
                  <c:v>475</c:v>
                </c:pt>
                <c:pt idx="5">
                  <c:v>389</c:v>
                </c:pt>
              </c:numCache>
            </c:numRef>
          </c:val>
          <c:extLst>
            <c:ext xmlns:c16="http://schemas.microsoft.com/office/drawing/2014/chart" uri="{C3380CC4-5D6E-409C-BE32-E72D297353CC}">
              <c16:uniqueId val="{00000000-18F4-4399-B324-F36F61100245}"/>
            </c:ext>
          </c:extLst>
        </c:ser>
        <c:dLbls>
          <c:showLegendKey val="0"/>
          <c:showVal val="1"/>
          <c:showCatName val="0"/>
          <c:showSerName val="0"/>
          <c:showPercent val="0"/>
          <c:showBubbleSize val="0"/>
        </c:dLbls>
        <c:gapWidth val="219"/>
        <c:overlap val="-27"/>
        <c:axId val="211076320"/>
        <c:axId val="211078240"/>
      </c:barChart>
      <c:lineChart>
        <c:grouping val="standard"/>
        <c:varyColors val="0"/>
        <c:ser>
          <c:idx val="1"/>
          <c:order val="1"/>
          <c:tx>
            <c:strRef>
              <c:f>Pivot!$H$37</c:f>
              <c:strCache>
                <c:ptCount val="1"/>
                <c:pt idx="0">
                  <c:v>Sum of Defect Qty (Pairs)</c:v>
                </c:pt>
              </c:strCache>
            </c:strRef>
          </c:tx>
          <c:spPr>
            <a:ln w="28575" cap="rnd">
              <a:solidFill>
                <a:schemeClr val="accent4">
                  <a:tint val="77000"/>
                </a:schemeClr>
              </a:solidFill>
              <a:round/>
            </a:ln>
            <a:effectLst/>
          </c:spPr>
          <c:marker>
            <c:symbol val="none"/>
          </c:marker>
          <c:dPt>
            <c:idx val="2"/>
            <c:marker>
              <c:symbol val="none"/>
            </c:marker>
            <c:bubble3D val="0"/>
            <c:spPr>
              <a:ln w="28575" cap="rnd">
                <a:solidFill>
                  <a:schemeClr val="accent4">
                    <a:tint val="77000"/>
                  </a:schemeClr>
                </a:solidFill>
                <a:round/>
              </a:ln>
              <a:effectLst/>
            </c:spPr>
            <c:extLst>
              <c:ext xmlns:c16="http://schemas.microsoft.com/office/drawing/2014/chart" uri="{C3380CC4-5D6E-409C-BE32-E72D297353CC}">
                <c16:uniqueId val="{00000001-D4AB-4E5B-8B86-77F624A915AF}"/>
              </c:ext>
            </c:extLst>
          </c:dPt>
          <c:dPt>
            <c:idx val="3"/>
            <c:marker>
              <c:symbol val="none"/>
            </c:marker>
            <c:bubble3D val="0"/>
            <c:spPr>
              <a:ln w="28575" cap="rnd">
                <a:solidFill>
                  <a:schemeClr val="accent4">
                    <a:tint val="77000"/>
                  </a:schemeClr>
                </a:solidFill>
                <a:round/>
              </a:ln>
              <a:effectLst/>
            </c:spPr>
            <c:extLst>
              <c:ext xmlns:c16="http://schemas.microsoft.com/office/drawing/2014/chart" uri="{C3380CC4-5D6E-409C-BE32-E72D297353CC}">
                <c16:uniqueId val="{00000001-18F4-4399-B324-F36F611002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Pivot!$F$38:$F$44</c:f>
              <c:strCache>
                <c:ptCount val="6"/>
                <c:pt idx="0">
                  <c:v>Unbonding/Peeling</c:v>
                </c:pt>
                <c:pt idx="1">
                  <c:v>Air Bubble</c:v>
                </c:pt>
                <c:pt idx="2">
                  <c:v>Scratches/Marks</c:v>
                </c:pt>
                <c:pt idx="3">
                  <c:v>Flash/Over-overflow</c:v>
                </c:pt>
                <c:pt idx="4">
                  <c:v>Deformation</c:v>
                </c:pt>
                <c:pt idx="5">
                  <c:v>Under-cure</c:v>
                </c:pt>
              </c:strCache>
            </c:strRef>
          </c:cat>
          <c:val>
            <c:numRef>
              <c:f>Pivot!$H$38:$H$44</c:f>
              <c:numCache>
                <c:formatCode>0.00%</c:formatCode>
                <c:ptCount val="6"/>
                <c:pt idx="0">
                  <c:v>0.33279286582894202</c:v>
                </c:pt>
                <c:pt idx="1">
                  <c:v>0.56120794487231451</c:v>
                </c:pt>
                <c:pt idx="2">
                  <c:v>0.70287798946088365</c:v>
                </c:pt>
                <c:pt idx="3">
                  <c:v>0.82488852857721928</c:v>
                </c:pt>
                <c:pt idx="4">
                  <c:v>0.92115930279691938</c:v>
                </c:pt>
                <c:pt idx="5">
                  <c:v>1</c:v>
                </c:pt>
              </c:numCache>
            </c:numRef>
          </c:val>
          <c:smooth val="0"/>
          <c:extLst>
            <c:ext xmlns:c16="http://schemas.microsoft.com/office/drawing/2014/chart" uri="{C3380CC4-5D6E-409C-BE32-E72D297353CC}">
              <c16:uniqueId val="{00000002-18F4-4399-B324-F36F61100245}"/>
            </c:ext>
          </c:extLst>
        </c:ser>
        <c:dLbls>
          <c:showLegendKey val="0"/>
          <c:showVal val="1"/>
          <c:showCatName val="0"/>
          <c:showSerName val="0"/>
          <c:showPercent val="0"/>
          <c:showBubbleSize val="0"/>
        </c:dLbls>
        <c:marker val="1"/>
        <c:smooth val="0"/>
        <c:axId val="210079200"/>
        <c:axId val="210078720"/>
      </c:lineChart>
      <c:catAx>
        <c:axId val="21107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8240"/>
        <c:crosses val="autoZero"/>
        <c:auto val="1"/>
        <c:lblAlgn val="ctr"/>
        <c:lblOffset val="100"/>
        <c:noMultiLvlLbl val="0"/>
      </c:catAx>
      <c:valAx>
        <c:axId val="2110782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6320"/>
        <c:crosses val="autoZero"/>
        <c:crossBetween val="between"/>
      </c:valAx>
      <c:valAx>
        <c:axId val="210078720"/>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79200"/>
        <c:crosses val="max"/>
        <c:crossBetween val="between"/>
      </c:valAx>
      <c:catAx>
        <c:axId val="210079200"/>
        <c:scaling>
          <c:orientation val="minMax"/>
        </c:scaling>
        <c:delete val="1"/>
        <c:axPos val="b"/>
        <c:numFmt formatCode="General" sourceLinked="1"/>
        <c:majorTickMark val="out"/>
        <c:minorTickMark val="none"/>
        <c:tickLblPos val="nextTo"/>
        <c:crossAx val="2100787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[Production-Quality-Performance-Dashboard.xlsx]Pivot!PivotTable6</c:name>
    <c:fmtId val="14"/>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j-lt"/>
                <a:ea typeface="+mn-ea"/>
                <a:cs typeface="+mn-cs"/>
              </a:defRPr>
            </a:pPr>
            <a:r>
              <a:rPr lang="en-US" sz="1400" b="1" i="0" u="none" strike="noStrike" baseline="0">
                <a:solidFill>
                  <a:sysClr val="windowText" lastClr="000000"/>
                </a:solidFill>
                <a:latin typeface="+mj-lt"/>
              </a:rPr>
              <a:t>Defect Cases by Responsible Department</a:t>
            </a:r>
            <a:endParaRPr lang="en-US" sz="1400">
              <a:solidFill>
                <a:sysClr val="windowText" lastClr="000000"/>
              </a:solidFill>
              <a:latin typeface="+mj-lt"/>
            </a:endParaRPr>
          </a:p>
        </c:rich>
      </c:tx>
      <c:layout>
        <c:manualLayout>
          <c:xMode val="edge"/>
          <c:yMode val="edge"/>
          <c:x val="0.22153033131883293"/>
          <c:y val="3.9020115152733265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j-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pivotFmt>
      <c:pivotFmt>
        <c:idx val="2"/>
        <c:spPr>
          <a:solidFill>
            <a:schemeClr val="accent4"/>
          </a:solidFill>
          <a:ln>
            <a:noFill/>
          </a:ln>
          <a:effectLst>
            <a:outerShdw blurRad="254000" sx="102000" sy="102000" algn="ctr" rotWithShape="0">
              <a:prstClr val="black">
                <a:alpha val="20000"/>
              </a:prstClr>
            </a:outerShdw>
          </a:effectLst>
        </c:spPr>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4">
              <a:shade val="58000"/>
            </a:schemeClr>
          </a:solidFill>
          <a:ln>
            <a:noFill/>
          </a:ln>
          <a:effectLst>
            <a:outerShdw blurRad="254000" sx="102000" sy="102000" algn="ctr" rotWithShape="0">
              <a:prstClr val="black">
                <a:alpha val="20000"/>
              </a:prstClr>
            </a:outerShdw>
          </a:effectLst>
        </c:spPr>
      </c:pivotFmt>
      <c:pivotFmt>
        <c:idx val="7"/>
        <c:spPr>
          <a:solidFill>
            <a:schemeClr val="accent4">
              <a:shade val="86000"/>
            </a:schemeClr>
          </a:solidFill>
          <a:ln>
            <a:noFill/>
          </a:ln>
          <a:effectLst>
            <a:outerShdw blurRad="254000" sx="102000" sy="102000" algn="ctr" rotWithShape="0">
              <a:prstClr val="black">
                <a:alpha val="20000"/>
              </a:prstClr>
            </a:outerShdw>
          </a:effectLst>
        </c:spPr>
      </c:pivotFmt>
      <c:pivotFmt>
        <c:idx val="8"/>
        <c:spPr>
          <a:solidFill>
            <a:schemeClr val="accent4">
              <a:tint val="86000"/>
            </a:schemeClr>
          </a:solidFill>
          <a:ln>
            <a:noFill/>
          </a:ln>
          <a:effectLst>
            <a:outerShdw blurRad="254000" sx="102000" sy="102000" algn="ctr" rotWithShape="0">
              <a:prstClr val="black">
                <a:alpha val="20000"/>
              </a:prstClr>
            </a:outerShdw>
          </a:effectLst>
        </c:spPr>
      </c:pivotFmt>
      <c:pivotFmt>
        <c:idx val="9"/>
        <c:spPr>
          <a:solidFill>
            <a:schemeClr val="accent4">
              <a:tint val="58000"/>
            </a:schemeClr>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shade val="58000"/>
            </a:schemeClr>
          </a:solidFill>
          <a:ln>
            <a:noFill/>
          </a:ln>
          <a:effectLst>
            <a:outerShdw blurRad="254000" sx="102000" sy="102000" algn="ctr" rotWithShape="0">
              <a:prstClr val="black">
                <a:alpha val="20000"/>
              </a:prstClr>
            </a:outerShdw>
          </a:effectLst>
        </c:spPr>
      </c:pivotFmt>
      <c:pivotFmt>
        <c:idx val="12"/>
        <c:spPr>
          <a:solidFill>
            <a:schemeClr val="accent4">
              <a:shade val="86000"/>
            </a:schemeClr>
          </a:solidFill>
          <a:ln>
            <a:noFill/>
          </a:ln>
          <a:effectLst>
            <a:outerShdw blurRad="254000" sx="102000" sy="102000" algn="ctr" rotWithShape="0">
              <a:prstClr val="black">
                <a:alpha val="20000"/>
              </a:prstClr>
            </a:outerShdw>
          </a:effectLst>
        </c:spPr>
      </c:pivotFmt>
      <c:pivotFmt>
        <c:idx val="13"/>
        <c:spPr>
          <a:solidFill>
            <a:schemeClr val="accent4">
              <a:tint val="86000"/>
            </a:schemeClr>
          </a:solidFill>
          <a:ln>
            <a:noFill/>
          </a:ln>
          <a:effectLst>
            <a:outerShdw blurRad="254000" sx="102000" sy="102000" algn="ctr" rotWithShape="0">
              <a:prstClr val="black">
                <a:alpha val="20000"/>
              </a:prstClr>
            </a:outerShdw>
          </a:effectLst>
        </c:spPr>
      </c:pivotFmt>
      <c:pivotFmt>
        <c:idx val="14"/>
        <c:spPr>
          <a:solidFill>
            <a:schemeClr val="accent4">
              <a:tint val="58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617130186124004"/>
          <c:y val="0.20971483115217363"/>
          <c:w val="0.63093528260475507"/>
          <c:h val="0.69588535293311349"/>
        </c:manualLayout>
      </c:layout>
      <c:doughnutChart>
        <c:varyColors val="1"/>
        <c:ser>
          <c:idx val="0"/>
          <c:order val="0"/>
          <c:tx>
            <c:strRef>
              <c:f>Pivot!$H$22</c:f>
              <c:strCache>
                <c:ptCount val="1"/>
                <c:pt idx="0">
                  <c:v>Total</c:v>
                </c:pt>
              </c:strCache>
            </c:strRef>
          </c:tx>
          <c:dPt>
            <c:idx val="0"/>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12B-49EE-A51C-792812EFAC7E}"/>
              </c:ext>
            </c:extLst>
          </c:dPt>
          <c:dPt>
            <c:idx val="1"/>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12B-49EE-A51C-792812EFAC7E}"/>
              </c:ext>
            </c:extLst>
          </c:dPt>
          <c:dPt>
            <c:idx val="2"/>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12B-49EE-A51C-792812EFAC7E}"/>
              </c:ext>
            </c:extLst>
          </c:dPt>
          <c:dPt>
            <c:idx val="3"/>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12B-49EE-A51C-792812EFAC7E}"/>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Pivot!$G$23:$G$27</c:f>
              <c:strCache>
                <c:ptCount val="4"/>
                <c:pt idx="0">
                  <c:v>Machine Maintenance</c:v>
                </c:pt>
                <c:pt idx="1">
                  <c:v>Material QC</c:v>
                </c:pt>
                <c:pt idx="2">
                  <c:v>Operator Training</c:v>
                </c:pt>
                <c:pt idx="3">
                  <c:v>Process Engineering</c:v>
                </c:pt>
              </c:strCache>
            </c:strRef>
          </c:cat>
          <c:val>
            <c:numRef>
              <c:f>Pivot!$H$23:$H$27</c:f>
              <c:numCache>
                <c:formatCode>General</c:formatCode>
                <c:ptCount val="4"/>
                <c:pt idx="0">
                  <c:v>41</c:v>
                </c:pt>
                <c:pt idx="1">
                  <c:v>48</c:v>
                </c:pt>
                <c:pt idx="2">
                  <c:v>51</c:v>
                </c:pt>
                <c:pt idx="3">
                  <c:v>41</c:v>
                </c:pt>
              </c:numCache>
            </c:numRef>
          </c:val>
          <c:extLst>
            <c:ext xmlns:c16="http://schemas.microsoft.com/office/drawing/2014/chart" uri="{C3380CC4-5D6E-409C-BE32-E72D297353CC}">
              <c16:uniqueId val="{00000008-812B-49EE-A51C-792812EFAC7E}"/>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[Production-Quality-Performance-Dashboard.xlsx]Pivot!PivotTable5</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b="1" i="0" u="none" strike="noStrike" baseline="0">
                <a:solidFill>
                  <a:sysClr val="windowText" lastClr="000000"/>
                </a:solidFill>
                <a:latin typeface="+mj-lt"/>
              </a:rPr>
              <a:t>Production Achievement by Line (Jananuary - June 2026)</a:t>
            </a:r>
            <a:endParaRPr lang="en-US" sz="1400" b="1">
              <a:solidFill>
                <a:sysClr val="windowText" lastClr="000000"/>
              </a:solidFill>
              <a:latin typeface="+mj-lt"/>
            </a:endParaRPr>
          </a:p>
        </c:rich>
      </c:tx>
      <c:overlay val="0"/>
      <c:spPr>
        <a:noFill/>
        <a:ln>
          <a:noFill/>
        </a:ln>
        <a:effectLst/>
      </c:spPr>
    </c:title>
    <c:autoTitleDeleted val="0"/>
    <c:pivotFmts>
      <c:pivotFmt>
        <c:idx val="0"/>
        <c:spPr>
          <a:solidFill>
            <a:schemeClr val="accent4"/>
          </a:solidFill>
          <a:ln w="19050">
            <a:solidFill>
              <a:schemeClr val="lt1"/>
            </a:solidFill>
          </a:ln>
          <a:effectLst/>
        </c:spPr>
        <c:marker>
          <c:symbol val="none"/>
        </c:marker>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105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105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4"/>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105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4">
              <a:shade val="76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4">
              <a:tint val="77000"/>
            </a:schemeClr>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0" tIns="19050" rIns="38100" bIns="19050" anchor="t" anchorCtr="0">
              <a:spAutoFit/>
            </a:bodyPr>
            <a:lstStyle/>
            <a:p>
              <a:pPr>
                <a:defRPr sz="1050" b="0" i="0" u="none" strike="noStrike" kern="1200" baseline="0">
                  <a:ln>
                    <a:noFill/>
                  </a:ln>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4">
              <a:shade val="76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4">
              <a:tint val="77000"/>
            </a:schemeClr>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0" tIns="19050" rIns="38100" bIns="19050" anchor="t" anchorCtr="0">
              <a:spAutoFit/>
            </a:bodyPr>
            <a:lstStyle/>
            <a:p>
              <a:pPr>
                <a:defRPr sz="1050" b="0" i="0" u="none" strike="noStrike" kern="1200" baseline="0">
                  <a:ln>
                    <a:noFill/>
                  </a:ln>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4">
              <a:shade val="76000"/>
            </a:schemeClr>
          </a:solidFill>
          <a:ln w="19050">
            <a:solidFill>
              <a:schemeClr val="lt1"/>
            </a:solid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pivotFmt>
      <c:pivotFmt>
        <c:idx val="14"/>
      </c:pivotFmt>
      <c:pivotFmt>
        <c:idx val="15"/>
      </c:pivotFmt>
      <c:pivotFmt>
        <c:idx val="16"/>
      </c:pivotFmt>
      <c:pivotFmt>
        <c:idx val="17"/>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0699779509712"/>
          <c:y val="0.21798731342994709"/>
          <c:w val="0.63385326573742817"/>
          <c:h val="0.71731350183507903"/>
        </c:manualLayout>
      </c:layout>
      <c:barChart>
        <c:barDir val="bar"/>
        <c:grouping val="clustered"/>
        <c:varyColors val="1"/>
        <c:ser>
          <c:idx val="0"/>
          <c:order val="0"/>
          <c:tx>
            <c:strRef>
              <c:f>Pivot!$K$11</c:f>
              <c:strCache>
                <c:ptCount val="1"/>
                <c:pt idx="0">
                  <c:v>Total</c:v>
                </c:pt>
              </c:strCache>
            </c:strRef>
          </c:tx>
          <c:invertIfNegative val="1"/>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Pivot!$J$12:$J$16</c:f>
              <c:strCache>
                <c:ptCount val="4"/>
                <c:pt idx="0">
                  <c:v>Line C - Assembly</c:v>
                </c:pt>
                <c:pt idx="1">
                  <c:v>Line B - Midsole</c:v>
                </c:pt>
                <c:pt idx="2">
                  <c:v>Line D - Molding</c:v>
                </c:pt>
                <c:pt idx="3">
                  <c:v>Line A - Outsole</c:v>
                </c:pt>
              </c:strCache>
            </c:strRef>
          </c:cat>
          <c:val>
            <c:numRef>
              <c:f>Pivot!$K$12:$K$16</c:f>
              <c:numCache>
                <c:formatCode>0.0\%</c:formatCode>
                <c:ptCount val="4"/>
                <c:pt idx="0">
                  <c:v>92.127214170692426</c:v>
                </c:pt>
                <c:pt idx="1">
                  <c:v>91.971252566735117</c:v>
                </c:pt>
                <c:pt idx="2">
                  <c:v>91.711148648648646</c:v>
                </c:pt>
                <c:pt idx="3">
                  <c:v>90.785714285714292</c:v>
                </c:pt>
              </c:numCache>
            </c:numRef>
          </c:val>
          <c:extLst>
            <c:ext xmlns:c16="http://schemas.microsoft.com/office/drawing/2014/chart" uri="{C3380CC4-5D6E-409C-BE32-E72D297353CC}">
              <c16:uniqueId val="{00000000-514D-495B-AF43-46F6F0B9A398}"/>
            </c:ext>
          </c:extLst>
        </c:ser>
        <c:dLbls>
          <c:dLblPos val="outEnd"/>
          <c:showLegendKey val="0"/>
          <c:showVal val="1"/>
          <c:showCatName val="0"/>
          <c:showSerName val="0"/>
          <c:showPercent val="0"/>
          <c:showBubbleSize val="0"/>
        </c:dLbls>
        <c:gapWidth val="30"/>
        <c:axId val="1745045168"/>
        <c:axId val="1745040368"/>
      </c:barChart>
      <c:catAx>
        <c:axId val="174504516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45040368"/>
        <c:crosses val="autoZero"/>
        <c:auto val="1"/>
        <c:lblAlgn val="ctr"/>
        <c:lblOffset val="100"/>
        <c:noMultiLvlLbl val="0"/>
      </c:catAx>
      <c:valAx>
        <c:axId val="1745040368"/>
        <c:scaling>
          <c:orientation val="minMax"/>
        </c:scaling>
        <c:delete val="1"/>
        <c:axPos val="t"/>
        <c:numFmt formatCode="0.0\%" sourceLinked="1"/>
        <c:majorTickMark val="out"/>
        <c:minorTickMark val="none"/>
        <c:tickLblPos val="nextTo"/>
        <c:crossAx val="1745045168"/>
        <c:crosses val="autoZero"/>
        <c:crossBetween val="between"/>
      </c:valAx>
      <c:spPr>
        <a:noFill/>
        <a:ln>
          <a:noFill/>
        </a:ln>
        <a:effectLst/>
      </c:spPr>
    </c:plotArea>
    <c:plotVisOnly val="1"/>
    <c:dispBlanksAs val="gap"/>
    <c:showDLblsOverMax val="0"/>
    <c:extLst/>
  </c:chart>
  <c:spPr>
    <a:ln>
      <a:solidFill>
        <a:schemeClr val="bg1">
          <a:lumMod val="7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[Production-Quality-Performance-Dashboard.xlsx]Pivot!PivotTable11</c:name>
    <c:fmtId val="4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r>
              <a:rPr lang="en-US" sz="1400" b="1" i="0" u="none" strike="noStrike" baseline="0">
                <a:solidFill>
                  <a:sysClr val="windowText" lastClr="000000"/>
                </a:solidFill>
                <a:latin typeface="+mj-lt"/>
              </a:rPr>
              <a:t>Corrective Action Status</a:t>
            </a:r>
          </a:p>
        </c:rich>
      </c:tx>
      <c:layout>
        <c:manualLayout>
          <c:xMode val="edge"/>
          <c:yMode val="edge"/>
          <c:x val="0.23186612913060237"/>
          <c:y val="5.73647614355537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solidFill>
          <a:ln>
            <a:noFill/>
          </a:ln>
          <a:effectLst/>
        </c:spPr>
      </c:pivotFmt>
      <c:pivotFmt>
        <c:idx val="3"/>
        <c:spPr>
          <a:solidFill>
            <a:schemeClr val="accent4"/>
          </a:solidFill>
          <a:ln>
            <a:noFill/>
          </a:ln>
          <a:effectLst/>
        </c:spPr>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
        <c:idx val="6"/>
        <c:spPr>
          <a:solidFill>
            <a:schemeClr val="accent4"/>
          </a:solidFill>
          <a:ln>
            <a:noFill/>
          </a:ln>
          <a:effectLst/>
        </c:spPr>
      </c:pivotFmt>
      <c:pivotFmt>
        <c:idx val="7"/>
        <c:spPr>
          <a:solidFill>
            <a:schemeClr val="accent4"/>
          </a:solidFill>
          <a:ln>
            <a:noFill/>
          </a:ln>
          <a:effectLst/>
        </c:spPr>
      </c:pivotFmt>
      <c:pivotFmt>
        <c:idx val="8"/>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shade val="65000"/>
            </a:schemeClr>
          </a:solidFill>
          <a:ln>
            <a:noFill/>
          </a:ln>
          <a:effectLst/>
        </c:spPr>
      </c:pivotFmt>
      <c:pivotFmt>
        <c:idx val="10"/>
        <c:spPr>
          <a:solidFill>
            <a:schemeClr val="accent4"/>
          </a:solidFill>
          <a:ln>
            <a:noFill/>
          </a:ln>
          <a:effectLst/>
        </c:spPr>
      </c:pivotFmt>
      <c:pivotFmt>
        <c:idx val="11"/>
        <c:spPr>
          <a:solidFill>
            <a:schemeClr val="accent4">
              <a:tint val="65000"/>
            </a:schemeClr>
          </a:solidFill>
          <a:ln>
            <a:noFill/>
          </a:ln>
          <a:effectLst/>
        </c:spPr>
      </c:pivotFmt>
    </c:pivotFmts>
    <c:plotArea>
      <c:layout>
        <c:manualLayout>
          <c:layoutTarget val="inner"/>
          <c:xMode val="edge"/>
          <c:yMode val="edge"/>
          <c:x val="0.17630363990375211"/>
          <c:y val="0.19867381160688247"/>
          <c:w val="0.70422113201771919"/>
          <c:h val="0.75482611548556444"/>
        </c:manualLayout>
      </c:layout>
      <c:doughnutChart>
        <c:varyColors val="1"/>
        <c:ser>
          <c:idx val="0"/>
          <c:order val="0"/>
          <c:tx>
            <c:strRef>
              <c:f>Pivot!$N$16</c:f>
              <c:strCache>
                <c:ptCount val="1"/>
                <c:pt idx="0">
                  <c:v>Total</c:v>
                </c:pt>
              </c:strCache>
            </c:strRef>
          </c:tx>
          <c:dPt>
            <c:idx val="0"/>
            <c:bubble3D val="0"/>
            <c:spPr>
              <a:solidFill>
                <a:schemeClr val="accent4">
                  <a:shade val="65000"/>
                </a:schemeClr>
              </a:solidFill>
              <a:ln>
                <a:noFill/>
              </a:ln>
              <a:effectLst/>
            </c:spPr>
            <c:extLst>
              <c:ext xmlns:c16="http://schemas.microsoft.com/office/drawing/2014/chart" uri="{C3380CC4-5D6E-409C-BE32-E72D297353CC}">
                <c16:uniqueId val="{00000001-C33F-409E-95C7-C69F0C125FD9}"/>
              </c:ext>
            </c:extLst>
          </c:dPt>
          <c:dPt>
            <c:idx val="1"/>
            <c:bubble3D val="0"/>
            <c:spPr>
              <a:solidFill>
                <a:schemeClr val="accent4"/>
              </a:solidFill>
              <a:ln>
                <a:noFill/>
              </a:ln>
              <a:effectLst/>
            </c:spPr>
            <c:extLst>
              <c:ext xmlns:c16="http://schemas.microsoft.com/office/drawing/2014/chart" uri="{C3380CC4-5D6E-409C-BE32-E72D297353CC}">
                <c16:uniqueId val="{00000003-C33F-409E-95C7-C69F0C125FD9}"/>
              </c:ext>
            </c:extLst>
          </c:dPt>
          <c:dPt>
            <c:idx val="2"/>
            <c:bubble3D val="0"/>
            <c:spPr>
              <a:solidFill>
                <a:schemeClr val="accent4">
                  <a:tint val="65000"/>
                </a:schemeClr>
              </a:solidFill>
              <a:ln>
                <a:noFill/>
              </a:ln>
              <a:effectLst/>
            </c:spPr>
            <c:extLst>
              <c:ext xmlns:c16="http://schemas.microsoft.com/office/drawing/2014/chart" uri="{C3380CC4-5D6E-409C-BE32-E72D297353CC}">
                <c16:uniqueId val="{00000005-C33F-409E-95C7-C69F0C125FD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Pivot!$M$17:$M$20</c:f>
              <c:strCache>
                <c:ptCount val="3"/>
                <c:pt idx="0">
                  <c:v>Completed</c:v>
                </c:pt>
                <c:pt idx="1">
                  <c:v>In Progress</c:v>
                </c:pt>
                <c:pt idx="2">
                  <c:v>Pending Verification</c:v>
                </c:pt>
              </c:strCache>
            </c:strRef>
          </c:cat>
          <c:val>
            <c:numRef>
              <c:f>Pivot!$N$17:$N$20</c:f>
              <c:numCache>
                <c:formatCode>General</c:formatCode>
                <c:ptCount val="3"/>
                <c:pt idx="0">
                  <c:v>127</c:v>
                </c:pt>
                <c:pt idx="1">
                  <c:v>33</c:v>
                </c:pt>
                <c:pt idx="2">
                  <c:v>21</c:v>
                </c:pt>
              </c:numCache>
            </c:numRef>
          </c:val>
          <c:extLst>
            <c:ext xmlns:c16="http://schemas.microsoft.com/office/drawing/2014/chart" uri="{C3380CC4-5D6E-409C-BE32-E72D297353CC}">
              <c16:uniqueId val="{00000006-C33F-409E-95C7-C69F0C125FD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9.xml"/><Relationship Id="rId21" Type="http://schemas.openxmlformats.org/officeDocument/2006/relationships/chart" Target="../charts/chart1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8.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5" Type="http://schemas.openxmlformats.org/officeDocument/2006/relationships/image" Target="../media/image9.png"/><Relationship Id="rId23" Type="http://schemas.openxmlformats.org/officeDocument/2006/relationships/image" Target="../media/image16.sv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4</xdr:col>
      <xdr:colOff>752475</xdr:colOff>
      <xdr:row>0</xdr:row>
      <xdr:rowOff>14286</xdr:rowOff>
    </xdr:from>
    <xdr:to>
      <xdr:col>8</xdr:col>
      <xdr:colOff>190500</xdr:colOff>
      <xdr:row>17</xdr:row>
      <xdr:rowOff>19049</xdr:rowOff>
    </xdr:to>
    <xdr:graphicFrame macro="">
      <xdr:nvGraphicFramePr>
        <xdr:cNvPr id="2" name="Chart 1">
          <a:extLst>
            <a:ext uri="{FF2B5EF4-FFF2-40B4-BE49-F238E27FC236}">
              <a16:creationId xmlns:a16="http://schemas.microsoft.com/office/drawing/2014/main" id="{E962C2EB-22A5-A1FE-9DD9-D23837C00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xdr:colOff>
      <xdr:row>19</xdr:row>
      <xdr:rowOff>109537</xdr:rowOff>
    </xdr:from>
    <xdr:to>
      <xdr:col>4</xdr:col>
      <xdr:colOff>1714500</xdr:colOff>
      <xdr:row>33</xdr:row>
      <xdr:rowOff>185737</xdr:rowOff>
    </xdr:to>
    <xdr:graphicFrame macro="">
      <xdr:nvGraphicFramePr>
        <xdr:cNvPr id="10" name="Chart 9">
          <a:extLst>
            <a:ext uri="{FF2B5EF4-FFF2-40B4-BE49-F238E27FC236}">
              <a16:creationId xmlns:a16="http://schemas.microsoft.com/office/drawing/2014/main" id="{11984219-5599-F4A5-F91A-AA661AB0E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104775</xdr:colOff>
      <xdr:row>35</xdr:row>
      <xdr:rowOff>190499</xdr:rowOff>
    </xdr:from>
    <xdr:to>
      <xdr:col>4</xdr:col>
      <xdr:colOff>647700</xdr:colOff>
      <xdr:row>48</xdr:row>
      <xdr:rowOff>147636</xdr:rowOff>
    </xdr:to>
    <xdr:graphicFrame macro="">
      <xdr:nvGraphicFramePr>
        <xdr:cNvPr id="12" name="Chart 11">
          <a:extLst>
            <a:ext uri="{FF2B5EF4-FFF2-40B4-BE49-F238E27FC236}">
              <a16:creationId xmlns:a16="http://schemas.microsoft.com/office/drawing/2014/main" id="{666AD111-3A22-9E75-B4A9-F2D87DDC5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1666875</xdr:colOff>
      <xdr:row>45</xdr:row>
      <xdr:rowOff>52387</xdr:rowOff>
    </xdr:from>
    <xdr:to>
      <xdr:col>7</xdr:col>
      <xdr:colOff>1562100</xdr:colOff>
      <xdr:row>59</xdr:row>
      <xdr:rowOff>128587</xdr:rowOff>
    </xdr:to>
    <xdr:graphicFrame macro="">
      <xdr:nvGraphicFramePr>
        <xdr:cNvPr id="13" name="Chart 12">
          <a:extLst>
            <a:ext uri="{FF2B5EF4-FFF2-40B4-BE49-F238E27FC236}">
              <a16:creationId xmlns:a16="http://schemas.microsoft.com/office/drawing/2014/main" id="{C1281F3B-B8AD-9FC7-951A-1AD0604F3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926668</xdr:colOff>
      <xdr:row>15</xdr:row>
      <xdr:rowOff>41005</xdr:rowOff>
    </xdr:from>
    <xdr:to>
      <xdr:col>8</xdr:col>
      <xdr:colOff>145296</xdr:colOff>
      <xdr:row>31</xdr:row>
      <xdr:rowOff>0</xdr:rowOff>
    </xdr:to>
    <xdr:graphicFrame macro="">
      <xdr:nvGraphicFramePr>
        <xdr:cNvPr id="3" name="Chart 2">
          <a:extLst>
            <a:ext uri="{FF2B5EF4-FFF2-40B4-BE49-F238E27FC236}">
              <a16:creationId xmlns:a16="http://schemas.microsoft.com/office/drawing/2014/main" id="{B03BBFC6-3AFD-020E-5ACE-5BD6FF4C6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539212</xdr:colOff>
      <xdr:row>35</xdr:row>
      <xdr:rowOff>41006</xdr:rowOff>
    </xdr:from>
    <xdr:to>
      <xdr:col>11</xdr:col>
      <xdr:colOff>138839</xdr:colOff>
      <xdr:row>49</xdr:row>
      <xdr:rowOff>72002</xdr:rowOff>
    </xdr:to>
    <xdr:graphicFrame macro="">
      <xdr:nvGraphicFramePr>
        <xdr:cNvPr id="6" name="Chart 5">
          <a:extLst>
            <a:ext uri="{FF2B5EF4-FFF2-40B4-BE49-F238E27FC236}">
              <a16:creationId xmlns:a16="http://schemas.microsoft.com/office/drawing/2014/main" id="{F56B232F-99FC-7FDD-3172-765C804A5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179456</xdr:rowOff>
    </xdr:from>
    <xdr:to>
      <xdr:col>30</xdr:col>
      <xdr:colOff>16711</xdr:colOff>
      <xdr:row>5</xdr:row>
      <xdr:rowOff>16710</xdr:rowOff>
    </xdr:to>
    <xdr:sp macro="" textlink="">
      <xdr:nvSpPr>
        <xdr:cNvPr id="4" name="TextBox 3">
          <a:extLst>
            <a:ext uri="{FF2B5EF4-FFF2-40B4-BE49-F238E27FC236}">
              <a16:creationId xmlns:a16="http://schemas.microsoft.com/office/drawing/2014/main" id="{BD4F22F9-3408-4B44-C656-6826E1BF9F4A}"/>
            </a:ext>
          </a:extLst>
        </xdr:cNvPr>
        <xdr:cNvSpPr txBox="1"/>
      </xdr:nvSpPr>
      <xdr:spPr>
        <a:xfrm>
          <a:off x="0" y="179456"/>
          <a:ext cx="18064079" cy="756333"/>
        </a:xfrm>
        <a:prstGeom prst="rect">
          <a:avLst/>
        </a:prstGeom>
        <a:solidFill>
          <a:schemeClr val="accent4">
            <a:lumMod val="7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000" b="1">
              <a:solidFill>
                <a:schemeClr val="bg1"/>
              </a:solidFill>
              <a:latin typeface="+mj-lt"/>
            </a:rPr>
            <a:t>Production Performance &amp; Quality Dashboard</a:t>
          </a:r>
          <a:br>
            <a:rPr lang="en-US" sz="2000">
              <a:solidFill>
                <a:schemeClr val="bg1"/>
              </a:solidFill>
              <a:latin typeface="+mj-lt"/>
            </a:rPr>
          </a:br>
          <a:r>
            <a:rPr lang="en-US" sz="2000" b="1">
              <a:solidFill>
                <a:schemeClr val="bg1"/>
              </a:solidFill>
              <a:latin typeface="+mj-lt"/>
            </a:rPr>
            <a:t>(January – June 2026)</a:t>
          </a:r>
          <a:endParaRPr lang="en-US" sz="2000">
            <a:solidFill>
              <a:schemeClr val="bg1"/>
            </a:solidFill>
            <a:latin typeface="+mj-lt"/>
          </a:endParaRPr>
        </a:p>
      </xdr:txBody>
    </xdr:sp>
    <xdr:clientData/>
  </xdr:twoCellAnchor>
  <xdr:twoCellAnchor>
    <xdr:from>
      <xdr:col>0</xdr:col>
      <xdr:colOff>10492</xdr:colOff>
      <xdr:row>14</xdr:row>
      <xdr:rowOff>84759</xdr:rowOff>
    </xdr:from>
    <xdr:to>
      <xdr:col>11</xdr:col>
      <xdr:colOff>207065</xdr:colOff>
      <xdr:row>33</xdr:row>
      <xdr:rowOff>151848</xdr:rowOff>
    </xdr:to>
    <xdr:graphicFrame macro="">
      <xdr:nvGraphicFramePr>
        <xdr:cNvPr id="15" name="Chart 14">
          <a:extLst>
            <a:ext uri="{FF2B5EF4-FFF2-40B4-BE49-F238E27FC236}">
              <a16:creationId xmlns:a16="http://schemas.microsoft.com/office/drawing/2014/main" id="{59C12AF6-6B0B-43AF-AD10-44CBDEB42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60741</xdr:colOff>
      <xdr:row>34</xdr:row>
      <xdr:rowOff>55215</xdr:rowOff>
    </xdr:from>
    <xdr:to>
      <xdr:col>6</xdr:col>
      <xdr:colOff>372717</xdr:colOff>
      <xdr:row>48</xdr:row>
      <xdr:rowOff>121563</xdr:rowOff>
    </xdr:to>
    <xdr:graphicFrame macro="">
      <xdr:nvGraphicFramePr>
        <xdr:cNvPr id="21" name="Chart 20">
          <a:extLst>
            <a:ext uri="{FF2B5EF4-FFF2-40B4-BE49-F238E27FC236}">
              <a16:creationId xmlns:a16="http://schemas.microsoft.com/office/drawing/2014/main" id="{9A6EAEA6-8867-4A0E-9BC8-160B57F6A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276089</xdr:colOff>
      <xdr:row>14</xdr:row>
      <xdr:rowOff>82826</xdr:rowOff>
    </xdr:from>
    <xdr:to>
      <xdr:col>17</xdr:col>
      <xdr:colOff>565980</xdr:colOff>
      <xdr:row>33</xdr:row>
      <xdr:rowOff>124238</xdr:rowOff>
    </xdr:to>
    <xdr:graphicFrame macro="">
      <xdr:nvGraphicFramePr>
        <xdr:cNvPr id="23" name="Chart 22">
          <a:extLst>
            <a:ext uri="{FF2B5EF4-FFF2-40B4-BE49-F238E27FC236}">
              <a16:creationId xmlns:a16="http://schemas.microsoft.com/office/drawing/2014/main" id="{86ACD3CE-BB39-4A65-A4D4-6D3E94109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441740</xdr:colOff>
      <xdr:row>34</xdr:row>
      <xdr:rowOff>88625</xdr:rowOff>
    </xdr:from>
    <xdr:to>
      <xdr:col>16</xdr:col>
      <xdr:colOff>538369</xdr:colOff>
      <xdr:row>49</xdr:row>
      <xdr:rowOff>1</xdr:rowOff>
    </xdr:to>
    <xdr:graphicFrame macro="">
      <xdr:nvGraphicFramePr>
        <xdr:cNvPr id="24" name="Chart 23">
          <a:extLst>
            <a:ext uri="{FF2B5EF4-FFF2-40B4-BE49-F238E27FC236}">
              <a16:creationId xmlns:a16="http://schemas.microsoft.com/office/drawing/2014/main" id="{26AACBF2-4465-4BD4-A83B-D37C4003D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94252</xdr:colOff>
      <xdr:row>5</xdr:row>
      <xdr:rowOff>46278</xdr:rowOff>
    </xdr:from>
    <xdr:to>
      <xdr:col>4</xdr:col>
      <xdr:colOff>360078</xdr:colOff>
      <xdr:row>9</xdr:row>
      <xdr:rowOff>65234</xdr:rowOff>
    </xdr:to>
    <xdr:sp macro="" textlink="">
      <xdr:nvSpPr>
        <xdr:cNvPr id="32" name="Rectangle: Rounded Corners 31">
          <a:extLst>
            <a:ext uri="{FF2B5EF4-FFF2-40B4-BE49-F238E27FC236}">
              <a16:creationId xmlns:a16="http://schemas.microsoft.com/office/drawing/2014/main" id="{F9612C54-8D60-4824-BFF9-86CF1C83849C}"/>
            </a:ext>
          </a:extLst>
        </xdr:cNvPr>
        <xdr:cNvSpPr/>
      </xdr:nvSpPr>
      <xdr:spPr>
        <a:xfrm>
          <a:off x="695831" y="965357"/>
          <a:ext cx="2070563" cy="754219"/>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593584</xdr:colOff>
      <xdr:row>34</xdr:row>
      <xdr:rowOff>82828</xdr:rowOff>
    </xdr:from>
    <xdr:to>
      <xdr:col>23</xdr:col>
      <xdr:colOff>414130</xdr:colOff>
      <xdr:row>49</xdr:row>
      <xdr:rowOff>1</xdr:rowOff>
    </xdr:to>
    <xdr:graphicFrame macro="">
      <xdr:nvGraphicFramePr>
        <xdr:cNvPr id="6" name="Chart 5">
          <a:extLst>
            <a:ext uri="{FF2B5EF4-FFF2-40B4-BE49-F238E27FC236}">
              <a16:creationId xmlns:a16="http://schemas.microsoft.com/office/drawing/2014/main" id="{FB3C2A80-67D3-476A-879C-F68C7974C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82826</xdr:colOff>
      <xdr:row>7</xdr:row>
      <xdr:rowOff>0</xdr:rowOff>
    </xdr:from>
    <xdr:to>
      <xdr:col>4</xdr:col>
      <xdr:colOff>96631</xdr:colOff>
      <xdr:row>8</xdr:row>
      <xdr:rowOff>138043</xdr:rowOff>
    </xdr:to>
    <xdr:sp macro="" textlink="">
      <xdr:nvSpPr>
        <xdr:cNvPr id="8" name="Rectangle 7">
          <a:extLst>
            <a:ext uri="{FF2B5EF4-FFF2-40B4-BE49-F238E27FC236}">
              <a16:creationId xmlns:a16="http://schemas.microsoft.com/office/drawing/2014/main" id="{8B897583-0BBE-B5BD-98E6-B301382D0EA8}"/>
            </a:ext>
          </a:extLst>
        </xdr:cNvPr>
        <xdr:cNvSpPr/>
      </xdr:nvSpPr>
      <xdr:spPr>
        <a:xfrm>
          <a:off x="1297609" y="1352826"/>
          <a:ext cx="1228587" cy="33130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43068</xdr:colOff>
      <xdr:row>6</xdr:row>
      <xdr:rowOff>179456</xdr:rowOff>
    </xdr:from>
    <xdr:to>
      <xdr:col>5</xdr:col>
      <xdr:colOff>27608</xdr:colOff>
      <xdr:row>8</xdr:row>
      <xdr:rowOff>138043</xdr:rowOff>
    </xdr:to>
    <xdr:sp macro="" textlink="Pivot!$K$4">
      <xdr:nvSpPr>
        <xdr:cNvPr id="13" name="Rectangle 12">
          <a:extLst>
            <a:ext uri="{FF2B5EF4-FFF2-40B4-BE49-F238E27FC236}">
              <a16:creationId xmlns:a16="http://schemas.microsoft.com/office/drawing/2014/main" id="{9DE757A8-34DC-49DD-BD49-8F99ED86215F}"/>
            </a:ext>
          </a:extLst>
        </xdr:cNvPr>
        <xdr:cNvSpPr/>
      </xdr:nvSpPr>
      <xdr:spPr>
        <a:xfrm>
          <a:off x="1257851" y="1339021"/>
          <a:ext cx="1806714" cy="34510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2822C5F1-BBBF-483A-86DD-6ACE62E1BFB4}" type="TxLink">
            <a:rPr lang="en-US" sz="1600" b="1" i="0" u="none" strike="noStrike">
              <a:solidFill>
                <a:srgbClr val="000000"/>
              </a:solidFill>
              <a:latin typeface="Calibri"/>
              <a:ea typeface="Calibri"/>
              <a:cs typeface="Calibri"/>
            </a:rPr>
            <a:pPr algn="l"/>
            <a:t>221.800 Pairs</a:t>
          </a:fld>
          <a:endParaRPr lang="en-US" sz="1600" b="1"/>
        </a:p>
      </xdr:txBody>
    </xdr:sp>
    <xdr:clientData/>
  </xdr:twoCellAnchor>
  <xdr:twoCellAnchor>
    <xdr:from>
      <xdr:col>1</xdr:col>
      <xdr:colOff>455519</xdr:colOff>
      <xdr:row>5</xdr:row>
      <xdr:rowOff>108259</xdr:rowOff>
    </xdr:from>
    <xdr:to>
      <xdr:col>4</xdr:col>
      <xdr:colOff>527472</xdr:colOff>
      <xdr:row>6</xdr:row>
      <xdr:rowOff>148565</xdr:rowOff>
    </xdr:to>
    <xdr:sp macro="" textlink="">
      <xdr:nvSpPr>
        <xdr:cNvPr id="18" name="TextBox 17">
          <a:extLst>
            <a:ext uri="{FF2B5EF4-FFF2-40B4-BE49-F238E27FC236}">
              <a16:creationId xmlns:a16="http://schemas.microsoft.com/office/drawing/2014/main" id="{8C992428-508F-4452-86F2-4F08CAA9781B}"/>
            </a:ext>
          </a:extLst>
        </xdr:cNvPr>
        <xdr:cNvSpPr txBox="1"/>
      </xdr:nvSpPr>
      <xdr:spPr>
        <a:xfrm>
          <a:off x="1057098" y="1027338"/>
          <a:ext cx="1876690" cy="224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PRODUCTION</a:t>
          </a:r>
          <a:r>
            <a:rPr lang="en-US" sz="1200" b="0" baseline="0"/>
            <a:t> TARGET</a:t>
          </a:r>
          <a:endParaRPr lang="en-US" sz="1200" b="0"/>
        </a:p>
      </xdr:txBody>
    </xdr:sp>
    <xdr:clientData/>
  </xdr:twoCellAnchor>
  <xdr:twoCellAnchor>
    <xdr:from>
      <xdr:col>18</xdr:col>
      <xdr:colOff>2</xdr:colOff>
      <xdr:row>14</xdr:row>
      <xdr:rowOff>96631</xdr:rowOff>
    </xdr:from>
    <xdr:to>
      <xdr:col>23</xdr:col>
      <xdr:colOff>524565</xdr:colOff>
      <xdr:row>33</xdr:row>
      <xdr:rowOff>124238</xdr:rowOff>
    </xdr:to>
    <xdr:graphicFrame macro="">
      <xdr:nvGraphicFramePr>
        <xdr:cNvPr id="11" name="Chart 10">
          <a:extLst>
            <a:ext uri="{FF2B5EF4-FFF2-40B4-BE49-F238E27FC236}">
              <a16:creationId xmlns:a16="http://schemas.microsoft.com/office/drawing/2014/main" id="{9E13C5CF-6AE9-4112-B325-B72FDF991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93703</xdr:colOff>
      <xdr:row>5</xdr:row>
      <xdr:rowOff>68766</xdr:rowOff>
    </xdr:from>
    <xdr:to>
      <xdr:col>10</xdr:col>
      <xdr:colOff>55222</xdr:colOff>
      <xdr:row>9</xdr:row>
      <xdr:rowOff>82842</xdr:rowOff>
    </xdr:to>
    <xdr:grpSp>
      <xdr:nvGrpSpPr>
        <xdr:cNvPr id="61" name="Group 60">
          <a:extLst>
            <a:ext uri="{FF2B5EF4-FFF2-40B4-BE49-F238E27FC236}">
              <a16:creationId xmlns:a16="http://schemas.microsoft.com/office/drawing/2014/main" id="{8C46C5E7-F224-EEF7-B01C-2385CE8CD235}"/>
            </a:ext>
          </a:extLst>
        </xdr:cNvPr>
        <xdr:cNvGrpSpPr/>
      </xdr:nvGrpSpPr>
      <xdr:grpSpPr>
        <a:xfrm>
          <a:off x="3703177" y="987845"/>
          <a:ext cx="2367834" cy="749339"/>
          <a:chOff x="3323920" y="988162"/>
          <a:chExt cx="2391084" cy="796854"/>
        </a:xfrm>
      </xdr:grpSpPr>
      <xdr:grpSp>
        <xdr:nvGrpSpPr>
          <xdr:cNvPr id="45" name="Group 44">
            <a:extLst>
              <a:ext uri="{FF2B5EF4-FFF2-40B4-BE49-F238E27FC236}">
                <a16:creationId xmlns:a16="http://schemas.microsoft.com/office/drawing/2014/main" id="{8D94D414-0C58-21ED-6422-189A94388779}"/>
              </a:ext>
            </a:extLst>
          </xdr:cNvPr>
          <xdr:cNvGrpSpPr/>
        </xdr:nvGrpSpPr>
        <xdr:grpSpPr>
          <a:xfrm>
            <a:off x="3323920" y="988162"/>
            <a:ext cx="2391084" cy="796854"/>
            <a:chOff x="8569568" y="1029577"/>
            <a:chExt cx="2329048" cy="796854"/>
          </a:xfrm>
        </xdr:grpSpPr>
        <xdr:sp macro="" textlink="">
          <xdr:nvSpPr>
            <xdr:cNvPr id="31" name="Rectangle: Rounded Corners 30">
              <a:extLst>
                <a:ext uri="{FF2B5EF4-FFF2-40B4-BE49-F238E27FC236}">
                  <a16:creationId xmlns:a16="http://schemas.microsoft.com/office/drawing/2014/main" id="{4E3A25E8-8D11-4F32-B1F7-F59941E0B0E8}"/>
                </a:ext>
              </a:extLst>
            </xdr:cNvPr>
            <xdr:cNvSpPr/>
          </xdr:nvSpPr>
          <xdr:spPr>
            <a:xfrm>
              <a:off x="8569568" y="1034431"/>
              <a:ext cx="2033828" cy="7920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B7465906-E33B-41EF-9F78-1909E2187618}"/>
                </a:ext>
              </a:extLst>
            </xdr:cNvPr>
            <xdr:cNvSpPr txBox="1"/>
          </xdr:nvSpPr>
          <xdr:spPr>
            <a:xfrm>
              <a:off x="8735082" y="1029577"/>
              <a:ext cx="2163534" cy="2404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ACTUAL</a:t>
              </a:r>
              <a:r>
                <a:rPr lang="en-US" sz="1200" b="1" baseline="0"/>
                <a:t> </a:t>
              </a:r>
              <a:r>
                <a:rPr lang="en-US" sz="1200" b="0" baseline="0"/>
                <a:t>PRODUCTION</a:t>
              </a:r>
              <a:endParaRPr lang="en-US" sz="1200" b="0"/>
            </a:p>
          </xdr:txBody>
        </xdr:sp>
      </xdr:grpSp>
      <xdr:sp macro="" textlink="Pivot!$K$5">
        <xdr:nvSpPr>
          <xdr:cNvPr id="3" name="Rectangle 2">
            <a:extLst>
              <a:ext uri="{FF2B5EF4-FFF2-40B4-BE49-F238E27FC236}">
                <a16:creationId xmlns:a16="http://schemas.microsoft.com/office/drawing/2014/main" id="{4650DFB4-E220-7D92-A96A-61B1FC0F12BA}"/>
              </a:ext>
            </a:extLst>
          </xdr:cNvPr>
          <xdr:cNvSpPr/>
        </xdr:nvSpPr>
        <xdr:spPr>
          <a:xfrm>
            <a:off x="3893928" y="1325218"/>
            <a:ext cx="1669223" cy="2909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D244F01C-F1A6-4363-B031-8C7F20E0681C}" type="TxLink">
              <a:rPr lang="en-US" sz="1600" b="1" i="0" u="none" strike="noStrike">
                <a:solidFill>
                  <a:srgbClr val="000000"/>
                </a:solidFill>
                <a:latin typeface="Calibri"/>
                <a:ea typeface="Calibri"/>
                <a:cs typeface="Calibri"/>
              </a:rPr>
              <a:pPr algn="l"/>
              <a:t>203.321 Pairs</a:t>
            </a:fld>
            <a:endParaRPr lang="en-US" sz="2000" b="1"/>
          </a:p>
        </xdr:txBody>
      </xdr:sp>
    </xdr:grpSp>
    <xdr:clientData/>
  </xdr:twoCellAnchor>
  <xdr:twoCellAnchor>
    <xdr:from>
      <xdr:col>6</xdr:col>
      <xdr:colOff>58125</xdr:colOff>
      <xdr:row>5</xdr:row>
      <xdr:rowOff>85732</xdr:rowOff>
    </xdr:from>
    <xdr:to>
      <xdr:col>7</xdr:col>
      <xdr:colOff>134734</xdr:colOff>
      <xdr:row>9</xdr:row>
      <xdr:rowOff>6133</xdr:rowOff>
    </xdr:to>
    <xdr:pic>
      <xdr:nvPicPr>
        <xdr:cNvPr id="22" name="Graphic 21" descr="Upward trend with solid fill">
          <a:extLst>
            <a:ext uri="{FF2B5EF4-FFF2-40B4-BE49-F238E27FC236}">
              <a16:creationId xmlns:a16="http://schemas.microsoft.com/office/drawing/2014/main" id="{9C620C14-4F71-B962-72A5-4DE1E1BF4E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67599" y="1004811"/>
          <a:ext cx="678188" cy="655664"/>
        </a:xfrm>
        <a:prstGeom prst="rect">
          <a:avLst/>
        </a:prstGeom>
      </xdr:spPr>
    </xdr:pic>
    <xdr:clientData/>
  </xdr:twoCellAnchor>
  <xdr:twoCellAnchor>
    <xdr:from>
      <xdr:col>21</xdr:col>
      <xdr:colOff>286407</xdr:colOff>
      <xdr:row>5</xdr:row>
      <xdr:rowOff>52637</xdr:rowOff>
    </xdr:from>
    <xdr:to>
      <xdr:col>24</xdr:col>
      <xdr:colOff>552233</xdr:colOff>
      <xdr:row>9</xdr:row>
      <xdr:rowOff>106999</xdr:rowOff>
    </xdr:to>
    <xdr:grpSp>
      <xdr:nvGrpSpPr>
        <xdr:cNvPr id="59" name="Group 58">
          <a:extLst>
            <a:ext uri="{FF2B5EF4-FFF2-40B4-BE49-F238E27FC236}">
              <a16:creationId xmlns:a16="http://schemas.microsoft.com/office/drawing/2014/main" id="{F37E462A-66A1-064C-7FC7-D4B9221A19EE}"/>
            </a:ext>
          </a:extLst>
        </xdr:cNvPr>
        <xdr:cNvGrpSpPr/>
      </xdr:nvGrpSpPr>
      <xdr:grpSpPr>
        <a:xfrm>
          <a:off x="12919565" y="971716"/>
          <a:ext cx="2070563" cy="789625"/>
          <a:chOff x="11536951" y="992069"/>
          <a:chExt cx="2088000" cy="829179"/>
        </a:xfrm>
      </xdr:grpSpPr>
      <xdr:grpSp>
        <xdr:nvGrpSpPr>
          <xdr:cNvPr id="7" name="Group 6">
            <a:extLst>
              <a:ext uri="{FF2B5EF4-FFF2-40B4-BE49-F238E27FC236}">
                <a16:creationId xmlns:a16="http://schemas.microsoft.com/office/drawing/2014/main" id="{8F93ACF7-2C8D-F7E4-95DD-7EBC9348D639}"/>
              </a:ext>
            </a:extLst>
          </xdr:cNvPr>
          <xdr:cNvGrpSpPr/>
        </xdr:nvGrpSpPr>
        <xdr:grpSpPr>
          <a:xfrm>
            <a:off x="11536951" y="1029248"/>
            <a:ext cx="2088000" cy="792000"/>
            <a:chOff x="11509342" y="932617"/>
            <a:chExt cx="2088000" cy="792000"/>
          </a:xfrm>
        </xdr:grpSpPr>
        <xdr:sp macro="" textlink="">
          <xdr:nvSpPr>
            <xdr:cNvPr id="28" name="Rectangle: Rounded Corners 27">
              <a:extLst>
                <a:ext uri="{FF2B5EF4-FFF2-40B4-BE49-F238E27FC236}">
                  <a16:creationId xmlns:a16="http://schemas.microsoft.com/office/drawing/2014/main" id="{6B28F1AB-B85B-4848-BF87-6E44F6F876EA}"/>
                </a:ext>
              </a:extLst>
            </xdr:cNvPr>
            <xdr:cNvSpPr/>
          </xdr:nvSpPr>
          <xdr:spPr>
            <a:xfrm>
              <a:off x="11509342" y="932617"/>
              <a:ext cx="2088000" cy="7920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Pivot!$S$5">
          <xdr:nvSpPr>
            <xdr:cNvPr id="10" name="Rectangle 9">
              <a:extLst>
                <a:ext uri="{FF2B5EF4-FFF2-40B4-BE49-F238E27FC236}">
                  <a16:creationId xmlns:a16="http://schemas.microsoft.com/office/drawing/2014/main" id="{1784D1E1-D3E9-A971-FEEE-659D396073BD}"/>
                </a:ext>
              </a:extLst>
            </xdr:cNvPr>
            <xdr:cNvSpPr/>
          </xdr:nvSpPr>
          <xdr:spPr>
            <a:xfrm>
              <a:off x="12341086" y="1325219"/>
              <a:ext cx="786848" cy="248477"/>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EAC037F6-90C4-48CF-A67A-ECA3D48C7F7D}" type="TxLink">
                <a:rPr lang="en-US" sz="1600" b="1" i="0" u="none" strike="noStrike">
                  <a:solidFill>
                    <a:srgbClr val="000000"/>
                  </a:solidFill>
                  <a:latin typeface="Calibri"/>
                  <a:ea typeface="Calibri"/>
                  <a:cs typeface="Calibri"/>
                </a:rPr>
                <a:pPr algn="ctr"/>
                <a:t>2,43%</a:t>
              </a:fld>
              <a:endParaRPr lang="en-US" sz="2000" b="1"/>
            </a:p>
          </xdr:txBody>
        </xdr:sp>
        <xdr:sp macro="" textlink="">
          <xdr:nvSpPr>
            <xdr:cNvPr id="19" name="TextBox 18">
              <a:extLst>
                <a:ext uri="{FF2B5EF4-FFF2-40B4-BE49-F238E27FC236}">
                  <a16:creationId xmlns:a16="http://schemas.microsoft.com/office/drawing/2014/main" id="{577F1EED-A826-4C34-8E8B-AC4099959994}"/>
                </a:ext>
              </a:extLst>
            </xdr:cNvPr>
            <xdr:cNvSpPr txBox="1"/>
          </xdr:nvSpPr>
          <xdr:spPr>
            <a:xfrm>
              <a:off x="12020103" y="990405"/>
              <a:ext cx="1440000" cy="25033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baseline="0"/>
                <a:t>DEFECT RATE</a:t>
              </a:r>
              <a:endParaRPr lang="en-US" sz="1200" b="0"/>
            </a:p>
          </xdr:txBody>
        </xdr:sp>
      </xdr:grpSp>
      <xdr:pic>
        <xdr:nvPicPr>
          <xdr:cNvPr id="26" name="Graphic 25" descr="Downward trend graph with solid fill">
            <a:extLst>
              <a:ext uri="{FF2B5EF4-FFF2-40B4-BE49-F238E27FC236}">
                <a16:creationId xmlns:a16="http://schemas.microsoft.com/office/drawing/2014/main" id="{227B764C-447F-BE7E-6633-EEDEEE8B415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566196" y="992069"/>
            <a:ext cx="684000" cy="684000"/>
          </a:xfrm>
          <a:prstGeom prst="rect">
            <a:avLst/>
          </a:prstGeom>
        </xdr:spPr>
      </xdr:pic>
    </xdr:grpSp>
    <xdr:clientData/>
  </xdr:twoCellAnchor>
  <xdr:twoCellAnchor>
    <xdr:from>
      <xdr:col>16</xdr:col>
      <xdr:colOff>230083</xdr:colOff>
      <xdr:row>5</xdr:row>
      <xdr:rowOff>100741</xdr:rowOff>
    </xdr:from>
    <xdr:to>
      <xdr:col>19</xdr:col>
      <xdr:colOff>495909</xdr:colOff>
      <xdr:row>9</xdr:row>
      <xdr:rowOff>119697</xdr:rowOff>
    </xdr:to>
    <xdr:grpSp>
      <xdr:nvGrpSpPr>
        <xdr:cNvPr id="42" name="Group 41">
          <a:extLst>
            <a:ext uri="{FF2B5EF4-FFF2-40B4-BE49-F238E27FC236}">
              <a16:creationId xmlns:a16="http://schemas.microsoft.com/office/drawing/2014/main" id="{C82CB352-D19B-9E2C-25A2-66E95B351CCF}"/>
            </a:ext>
          </a:extLst>
        </xdr:cNvPr>
        <xdr:cNvGrpSpPr/>
      </xdr:nvGrpSpPr>
      <xdr:grpSpPr>
        <a:xfrm>
          <a:off x="9855346" y="1019820"/>
          <a:ext cx="2070563" cy="754219"/>
          <a:chOff x="5640673" y="836826"/>
          <a:chExt cx="2033828" cy="900000"/>
        </a:xfrm>
      </xdr:grpSpPr>
      <xdr:sp macro="" textlink="">
        <xdr:nvSpPr>
          <xdr:cNvPr id="9" name="Rectangle: Rounded Corners 8">
            <a:extLst>
              <a:ext uri="{FF2B5EF4-FFF2-40B4-BE49-F238E27FC236}">
                <a16:creationId xmlns:a16="http://schemas.microsoft.com/office/drawing/2014/main" id="{BC770F42-51B6-4EF8-97F1-8B71B2B5F2DD}"/>
              </a:ext>
            </a:extLst>
          </xdr:cNvPr>
          <xdr:cNvSpPr/>
        </xdr:nvSpPr>
        <xdr:spPr>
          <a:xfrm>
            <a:off x="5640673" y="836826"/>
            <a:ext cx="2033828" cy="9000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17657FC8-27B0-4933-B50A-57AA223CF371}"/>
              </a:ext>
            </a:extLst>
          </xdr:cNvPr>
          <xdr:cNvSpPr txBox="1"/>
        </xdr:nvSpPr>
        <xdr:spPr>
          <a:xfrm>
            <a:off x="6092928" y="882477"/>
            <a:ext cx="1440000" cy="24088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baseline="0"/>
              <a:t>DEFECT</a:t>
            </a:r>
            <a:r>
              <a:rPr lang="en-US" sz="1200" b="1" baseline="0"/>
              <a:t> </a:t>
            </a:r>
            <a:r>
              <a:rPr lang="en-US" sz="1200" b="0" baseline="0"/>
              <a:t>UNITS</a:t>
            </a:r>
            <a:endParaRPr lang="en-US" sz="1200" b="0"/>
          </a:p>
        </xdr:txBody>
      </xdr:sp>
      <xdr:sp macro="" textlink="Pivot!$K$6">
        <xdr:nvSpPr>
          <xdr:cNvPr id="38" name="TextBox 37">
            <a:extLst>
              <a:ext uri="{FF2B5EF4-FFF2-40B4-BE49-F238E27FC236}">
                <a16:creationId xmlns:a16="http://schemas.microsoft.com/office/drawing/2014/main" id="{569362C4-1ED7-4C56-BA4D-6CBE820DE4EC}"/>
              </a:ext>
            </a:extLst>
          </xdr:cNvPr>
          <xdr:cNvSpPr txBox="1"/>
        </xdr:nvSpPr>
        <xdr:spPr>
          <a:xfrm>
            <a:off x="6096699" y="1265606"/>
            <a:ext cx="1565374" cy="34510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DE0C8E-3B5D-4B96-85E8-9C9DDB5EFB48}" type="TxLink">
              <a:rPr lang="en-US" sz="1600" b="1" i="0" u="none" strike="noStrike">
                <a:solidFill>
                  <a:srgbClr val="000000"/>
                </a:solidFill>
                <a:latin typeface="Calibri"/>
                <a:ea typeface="Calibri"/>
                <a:cs typeface="Calibri"/>
              </a:rPr>
              <a:t>4.934 Pairs</a:t>
            </a:fld>
            <a:endParaRPr lang="en-US" sz="1600" b="1"/>
          </a:p>
        </xdr:txBody>
      </xdr:sp>
    </xdr:grpSp>
    <xdr:clientData/>
  </xdr:twoCellAnchor>
  <xdr:twoCellAnchor>
    <xdr:from>
      <xdr:col>16</xdr:col>
      <xdr:colOff>272391</xdr:colOff>
      <xdr:row>5</xdr:row>
      <xdr:rowOff>176760</xdr:rowOff>
    </xdr:from>
    <xdr:to>
      <xdr:col>17</xdr:col>
      <xdr:colOff>313000</xdr:colOff>
      <xdr:row>8</xdr:row>
      <xdr:rowOff>167217</xdr:rowOff>
    </xdr:to>
    <xdr:pic>
      <xdr:nvPicPr>
        <xdr:cNvPr id="29" name="Graphic 28" descr="Warning with solid fill">
          <a:extLst>
            <a:ext uri="{FF2B5EF4-FFF2-40B4-BE49-F238E27FC236}">
              <a16:creationId xmlns:a16="http://schemas.microsoft.com/office/drawing/2014/main" id="{E12B27FF-C06E-6859-15BD-BA19BF9F9FB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990652" y="1143064"/>
          <a:ext cx="648000" cy="570240"/>
        </a:xfrm>
        <a:prstGeom prst="rect">
          <a:avLst/>
        </a:prstGeom>
      </xdr:spPr>
    </xdr:pic>
    <xdr:clientData/>
  </xdr:twoCellAnchor>
  <xdr:twoCellAnchor>
    <xdr:from>
      <xdr:col>11</xdr:col>
      <xdr:colOff>117295</xdr:colOff>
      <xdr:row>5</xdr:row>
      <xdr:rowOff>59878</xdr:rowOff>
    </xdr:from>
    <xdr:to>
      <xdr:col>14</xdr:col>
      <xdr:colOff>383119</xdr:colOff>
      <xdr:row>9</xdr:row>
      <xdr:rowOff>78834</xdr:rowOff>
    </xdr:to>
    <xdr:sp macro="" textlink="">
      <xdr:nvSpPr>
        <xdr:cNvPr id="20" name="Rectangle: Rounded Corners 19">
          <a:extLst>
            <a:ext uri="{FF2B5EF4-FFF2-40B4-BE49-F238E27FC236}">
              <a16:creationId xmlns:a16="http://schemas.microsoft.com/office/drawing/2014/main" id="{C6E0E147-21D2-4161-B624-D3D79F13667E}"/>
            </a:ext>
          </a:extLst>
        </xdr:cNvPr>
        <xdr:cNvSpPr/>
      </xdr:nvSpPr>
      <xdr:spPr>
        <a:xfrm>
          <a:off x="6734663" y="978957"/>
          <a:ext cx="2070561" cy="754219"/>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309891</xdr:colOff>
      <xdr:row>6</xdr:row>
      <xdr:rowOff>36027</xdr:rowOff>
    </xdr:from>
    <xdr:to>
      <xdr:col>15</xdr:col>
      <xdr:colOff>66114</xdr:colOff>
      <xdr:row>8</xdr:row>
      <xdr:rowOff>134037</xdr:rowOff>
    </xdr:to>
    <xdr:grpSp>
      <xdr:nvGrpSpPr>
        <xdr:cNvPr id="35" name="Group 34">
          <a:extLst>
            <a:ext uri="{FF2B5EF4-FFF2-40B4-BE49-F238E27FC236}">
              <a16:creationId xmlns:a16="http://schemas.microsoft.com/office/drawing/2014/main" id="{058D115A-68CC-7F42-4892-8EC23F8DF22D}"/>
            </a:ext>
          </a:extLst>
        </xdr:cNvPr>
        <xdr:cNvGrpSpPr/>
      </xdr:nvGrpSpPr>
      <xdr:grpSpPr>
        <a:xfrm>
          <a:off x="6927259" y="1138922"/>
          <a:ext cx="2162539" cy="465641"/>
          <a:chOff x="683216" y="1145760"/>
          <a:chExt cx="2316363" cy="524081"/>
        </a:xfrm>
      </xdr:grpSpPr>
      <xdr:sp macro="" textlink="">
        <xdr:nvSpPr>
          <xdr:cNvPr id="33" name="TextBox 32">
            <a:extLst>
              <a:ext uri="{FF2B5EF4-FFF2-40B4-BE49-F238E27FC236}">
                <a16:creationId xmlns:a16="http://schemas.microsoft.com/office/drawing/2014/main" id="{D1C63B55-EEDD-4D04-A563-7334DCE3FA23}"/>
              </a:ext>
            </a:extLst>
          </xdr:cNvPr>
          <xdr:cNvSpPr txBox="1"/>
        </xdr:nvSpPr>
        <xdr:spPr>
          <a:xfrm>
            <a:off x="683216" y="1145760"/>
            <a:ext cx="2316363" cy="1523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TARGET</a:t>
            </a:r>
            <a:r>
              <a:rPr lang="en-US" sz="1200" b="0" baseline="0"/>
              <a:t> ACHIEVEMENT</a:t>
            </a:r>
            <a:endParaRPr lang="en-US" sz="1200" b="0"/>
          </a:p>
        </xdr:txBody>
      </xdr:sp>
      <xdr:sp macro="" textlink="Pivot!D19">
        <xdr:nvSpPr>
          <xdr:cNvPr id="34" name="TextBox 33">
            <a:extLst>
              <a:ext uri="{FF2B5EF4-FFF2-40B4-BE49-F238E27FC236}">
                <a16:creationId xmlns:a16="http://schemas.microsoft.com/office/drawing/2014/main" id="{F0F28044-73A0-4686-89A4-8101F55D8C6C}"/>
              </a:ext>
            </a:extLst>
          </xdr:cNvPr>
          <xdr:cNvSpPr txBox="1"/>
        </xdr:nvSpPr>
        <xdr:spPr>
          <a:xfrm>
            <a:off x="1038922" y="1421362"/>
            <a:ext cx="1287643" cy="24847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FE81CF-6394-44E6-83E1-2F2368D24668}" type="TxLink">
              <a:rPr lang="en-US" sz="1600" b="1" i="0" u="none" strike="noStrike">
                <a:solidFill>
                  <a:srgbClr val="000000"/>
                </a:solidFill>
                <a:latin typeface="Calibri"/>
                <a:ea typeface="Calibri"/>
                <a:cs typeface="Calibri"/>
              </a:rPr>
              <a:pPr algn="ctr"/>
              <a:t>91,7%</a:t>
            </a:fld>
            <a:endParaRPr lang="en-US" sz="2000" b="1"/>
          </a:p>
        </xdr:txBody>
      </xdr:sp>
    </xdr:grpSp>
    <xdr:clientData/>
  </xdr:twoCellAnchor>
  <xdr:twoCellAnchor>
    <xdr:from>
      <xdr:col>11</xdr:col>
      <xdr:colOff>63480</xdr:colOff>
      <xdr:row>5</xdr:row>
      <xdr:rowOff>155893</xdr:rowOff>
    </xdr:from>
    <xdr:to>
      <xdr:col>12</xdr:col>
      <xdr:colOff>140088</xdr:colOff>
      <xdr:row>8</xdr:row>
      <xdr:rowOff>166748</xdr:rowOff>
    </xdr:to>
    <xdr:pic>
      <xdr:nvPicPr>
        <xdr:cNvPr id="39" name="Graphic 38" descr="Checklist with solid fill">
          <a:extLst>
            <a:ext uri="{FF2B5EF4-FFF2-40B4-BE49-F238E27FC236}">
              <a16:creationId xmlns:a16="http://schemas.microsoft.com/office/drawing/2014/main" id="{F4236072-E5A9-E110-1A19-FF8E1E4AC48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744784" y="1122197"/>
          <a:ext cx="684000" cy="590638"/>
        </a:xfrm>
        <a:prstGeom prst="rect">
          <a:avLst/>
        </a:prstGeom>
      </xdr:spPr>
    </xdr:pic>
    <xdr:clientData/>
  </xdr:twoCellAnchor>
  <xdr:twoCellAnchor editAs="oneCell">
    <xdr:from>
      <xdr:col>1</xdr:col>
      <xdr:colOff>59785</xdr:colOff>
      <xdr:row>5</xdr:row>
      <xdr:rowOff>99023</xdr:rowOff>
    </xdr:from>
    <xdr:to>
      <xdr:col>2</xdr:col>
      <xdr:colOff>136393</xdr:colOff>
      <xdr:row>9</xdr:row>
      <xdr:rowOff>19424</xdr:rowOff>
    </xdr:to>
    <xdr:pic>
      <xdr:nvPicPr>
        <xdr:cNvPr id="52" name="Graphic 51" descr="Bullseye with solid fill">
          <a:extLst>
            <a:ext uri="{FF2B5EF4-FFF2-40B4-BE49-F238E27FC236}">
              <a16:creationId xmlns:a16="http://schemas.microsoft.com/office/drawing/2014/main" id="{EF92726B-9E23-F9BB-CBED-A08AEF13947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61364" y="1018102"/>
          <a:ext cx="678187" cy="655664"/>
        </a:xfrm>
        <a:prstGeom prst="rect">
          <a:avLst/>
        </a:prstGeom>
      </xdr:spPr>
    </xdr:pic>
    <xdr:clientData/>
  </xdr:twoCellAnchor>
  <xdr:twoCellAnchor>
    <xdr:from>
      <xdr:col>2</xdr:col>
      <xdr:colOff>524559</xdr:colOff>
      <xdr:row>9</xdr:row>
      <xdr:rowOff>124239</xdr:rowOff>
    </xdr:from>
    <xdr:to>
      <xdr:col>7</xdr:col>
      <xdr:colOff>414125</xdr:colOff>
      <xdr:row>14</xdr:row>
      <xdr:rowOff>41413</xdr:rowOff>
    </xdr:to>
    <xdr:sp macro="" textlink="">
      <xdr:nvSpPr>
        <xdr:cNvPr id="25" name="Rectangle 24">
          <a:extLst>
            <a:ext uri="{FF2B5EF4-FFF2-40B4-BE49-F238E27FC236}">
              <a16:creationId xmlns:a16="http://schemas.microsoft.com/office/drawing/2014/main" id="{E4DC582B-F47B-C601-A8E3-2EF5ED285D5D}"/>
            </a:ext>
          </a:extLst>
        </xdr:cNvPr>
        <xdr:cNvSpPr/>
      </xdr:nvSpPr>
      <xdr:spPr>
        <a:xfrm>
          <a:off x="1739342" y="1863587"/>
          <a:ext cx="2926522" cy="883478"/>
        </a:xfrm>
        <a:prstGeom prst="rect">
          <a:avLst/>
        </a:prstGeom>
        <a:ln>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193262</xdr:colOff>
      <xdr:row>11</xdr:row>
      <xdr:rowOff>179456</xdr:rowOff>
    </xdr:from>
    <xdr:to>
      <xdr:col>7</xdr:col>
      <xdr:colOff>82828</xdr:colOff>
      <xdr:row>13</xdr:row>
      <xdr:rowOff>151848</xdr:rowOff>
    </xdr:to>
    <xdr:sp macro="" textlink="Pivot!K17">
      <xdr:nvSpPr>
        <xdr:cNvPr id="40" name="Rectangle 39">
          <a:extLst>
            <a:ext uri="{FF2B5EF4-FFF2-40B4-BE49-F238E27FC236}">
              <a16:creationId xmlns:a16="http://schemas.microsoft.com/office/drawing/2014/main" id="{7BDC2407-93BA-D101-B7D2-FB4B37320B64}"/>
            </a:ext>
          </a:extLst>
        </xdr:cNvPr>
        <xdr:cNvSpPr/>
      </xdr:nvSpPr>
      <xdr:spPr>
        <a:xfrm>
          <a:off x="2622827" y="2305326"/>
          <a:ext cx="1711740" cy="3589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0901D5A8-1A70-444F-87AB-A156C168C22F}" type="TxLink">
            <a:rPr lang="en-US" sz="1600" b="1" i="0" u="none" strike="noStrike">
              <a:solidFill>
                <a:srgbClr val="000000"/>
              </a:solidFill>
              <a:latin typeface="Calibri"/>
              <a:ea typeface="Calibri"/>
              <a:cs typeface="Calibri"/>
            </a:rPr>
            <a:pPr algn="ctr"/>
            <a:t>Line C - Assembly</a:t>
          </a:fld>
          <a:endParaRPr lang="en-US" sz="1600" b="1"/>
        </a:p>
      </xdr:txBody>
    </xdr:sp>
    <xdr:clientData/>
  </xdr:twoCellAnchor>
  <xdr:twoCellAnchor>
    <xdr:from>
      <xdr:col>4</xdr:col>
      <xdr:colOff>235225</xdr:colOff>
      <xdr:row>9</xdr:row>
      <xdr:rowOff>110987</xdr:rowOff>
    </xdr:from>
    <xdr:to>
      <xdr:col>7</xdr:col>
      <xdr:colOff>179457</xdr:colOff>
      <xdr:row>11</xdr:row>
      <xdr:rowOff>83378</xdr:rowOff>
    </xdr:to>
    <xdr:sp macro="" textlink="">
      <xdr:nvSpPr>
        <xdr:cNvPr id="41" name="Rectangle 40">
          <a:extLst>
            <a:ext uri="{FF2B5EF4-FFF2-40B4-BE49-F238E27FC236}">
              <a16:creationId xmlns:a16="http://schemas.microsoft.com/office/drawing/2014/main" id="{6ABEBDD0-778F-4BE7-9742-905CAF123290}"/>
            </a:ext>
          </a:extLst>
        </xdr:cNvPr>
        <xdr:cNvSpPr/>
      </xdr:nvSpPr>
      <xdr:spPr>
        <a:xfrm>
          <a:off x="2664790" y="1850335"/>
          <a:ext cx="1766406" cy="3589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1400" b="0"/>
            <a:t>Top Performing</a:t>
          </a:r>
          <a:r>
            <a:rPr lang="en-US" sz="1400" b="0" i="0" u="none" strike="noStrike">
              <a:solidFill>
                <a:srgbClr val="000000"/>
              </a:solidFill>
              <a:latin typeface="Calibri"/>
              <a:ea typeface="Calibri"/>
              <a:cs typeface="Calibri"/>
            </a:rPr>
            <a:t> Line</a:t>
          </a:r>
        </a:p>
      </xdr:txBody>
    </xdr:sp>
    <xdr:clientData/>
  </xdr:twoCellAnchor>
  <xdr:twoCellAnchor editAs="oneCell">
    <xdr:from>
      <xdr:col>2</xdr:col>
      <xdr:colOff>496956</xdr:colOff>
      <xdr:row>9</xdr:row>
      <xdr:rowOff>165653</xdr:rowOff>
    </xdr:from>
    <xdr:to>
      <xdr:col>4</xdr:col>
      <xdr:colOff>38174</xdr:colOff>
      <xdr:row>13</xdr:row>
      <xdr:rowOff>148610</xdr:rowOff>
    </xdr:to>
    <xdr:pic>
      <xdr:nvPicPr>
        <xdr:cNvPr id="47" name="Graphic 46" descr="Trophy with solid fill">
          <a:extLst>
            <a:ext uri="{FF2B5EF4-FFF2-40B4-BE49-F238E27FC236}">
              <a16:creationId xmlns:a16="http://schemas.microsoft.com/office/drawing/2014/main" id="{DF960C87-6818-6CB7-44F8-2296B3639AC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11739" y="1905001"/>
          <a:ext cx="756000" cy="756000"/>
        </a:xfrm>
        <a:prstGeom prst="rect">
          <a:avLst/>
        </a:prstGeom>
      </xdr:spPr>
    </xdr:pic>
    <xdr:clientData/>
  </xdr:twoCellAnchor>
  <xdr:twoCellAnchor>
    <xdr:from>
      <xdr:col>10</xdr:col>
      <xdr:colOff>124783</xdr:colOff>
      <xdr:row>9</xdr:row>
      <xdr:rowOff>124791</xdr:rowOff>
    </xdr:from>
    <xdr:to>
      <xdr:col>15</xdr:col>
      <xdr:colOff>55218</xdr:colOff>
      <xdr:row>14</xdr:row>
      <xdr:rowOff>41965</xdr:rowOff>
    </xdr:to>
    <xdr:grpSp>
      <xdr:nvGrpSpPr>
        <xdr:cNvPr id="77" name="Group 76">
          <a:extLst>
            <a:ext uri="{FF2B5EF4-FFF2-40B4-BE49-F238E27FC236}">
              <a16:creationId xmlns:a16="http://schemas.microsoft.com/office/drawing/2014/main" id="{2037E726-0B53-2466-407E-EF6931D2AF2C}"/>
            </a:ext>
          </a:extLst>
        </xdr:cNvPr>
        <xdr:cNvGrpSpPr/>
      </xdr:nvGrpSpPr>
      <xdr:grpSpPr>
        <a:xfrm>
          <a:off x="6140572" y="1779133"/>
          <a:ext cx="2938330" cy="836253"/>
          <a:chOff x="5756956" y="1850335"/>
          <a:chExt cx="2967392" cy="883478"/>
        </a:xfrm>
      </xdr:grpSpPr>
      <xdr:sp macro="" textlink="">
        <xdr:nvSpPr>
          <xdr:cNvPr id="27" name="Rectangle 26">
            <a:extLst>
              <a:ext uri="{FF2B5EF4-FFF2-40B4-BE49-F238E27FC236}">
                <a16:creationId xmlns:a16="http://schemas.microsoft.com/office/drawing/2014/main" id="{1AE99EED-CEE2-45AC-BC1C-548B1338D942}"/>
              </a:ext>
            </a:extLst>
          </xdr:cNvPr>
          <xdr:cNvSpPr/>
        </xdr:nvSpPr>
        <xdr:spPr>
          <a:xfrm>
            <a:off x="5756956" y="1850335"/>
            <a:ext cx="2926522" cy="883478"/>
          </a:xfrm>
          <a:prstGeom prst="rect">
            <a:avLst/>
          </a:prstGeom>
          <a:ln>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49" name="Rectangle 48">
            <a:extLst>
              <a:ext uri="{FF2B5EF4-FFF2-40B4-BE49-F238E27FC236}">
                <a16:creationId xmlns:a16="http://schemas.microsoft.com/office/drawing/2014/main" id="{F3E4B9DE-DB17-40EC-91D6-E32512192E29}"/>
              </a:ext>
            </a:extLst>
          </xdr:cNvPr>
          <xdr:cNvSpPr/>
        </xdr:nvSpPr>
        <xdr:spPr>
          <a:xfrm>
            <a:off x="6807198" y="1906657"/>
            <a:ext cx="1710085" cy="3589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1400" b="0" i="0" u="none" strike="noStrike">
                <a:solidFill>
                  <a:srgbClr val="000000"/>
                </a:solidFill>
                <a:latin typeface="Calibri"/>
                <a:ea typeface="Calibri"/>
                <a:cs typeface="Calibri"/>
              </a:rPr>
              <a:t>Highest</a:t>
            </a:r>
            <a:r>
              <a:rPr lang="en-US" sz="1400" b="0" i="0" u="none" strike="noStrike" baseline="0">
                <a:solidFill>
                  <a:srgbClr val="000000"/>
                </a:solidFill>
                <a:latin typeface="Calibri"/>
                <a:ea typeface="Calibri"/>
                <a:cs typeface="Calibri"/>
              </a:rPr>
              <a:t> Defect Type</a:t>
            </a:r>
            <a:endParaRPr lang="en-US" sz="1400" b="0" i="0" u="none" strike="noStrike">
              <a:solidFill>
                <a:srgbClr val="000000"/>
              </a:solidFill>
              <a:latin typeface="Calibri"/>
              <a:ea typeface="Calibri"/>
              <a:cs typeface="Calibri"/>
            </a:endParaRPr>
          </a:p>
        </xdr:txBody>
      </xdr:sp>
      <xdr:sp macro="" textlink="Pivot!B31">
        <xdr:nvSpPr>
          <xdr:cNvPr id="50" name="Rectangle 49">
            <a:extLst>
              <a:ext uri="{FF2B5EF4-FFF2-40B4-BE49-F238E27FC236}">
                <a16:creationId xmlns:a16="http://schemas.microsoft.com/office/drawing/2014/main" id="{F288D61B-DE4E-4CB5-83A0-5D68BBE63EDD}"/>
              </a:ext>
            </a:extLst>
          </xdr:cNvPr>
          <xdr:cNvSpPr/>
        </xdr:nvSpPr>
        <xdr:spPr>
          <a:xfrm>
            <a:off x="6432827" y="2264467"/>
            <a:ext cx="2291521" cy="3589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fld id="{962AED86-90CB-4587-B4EA-0C8416D75284}" type="TxLink">
              <a:rPr lang="en-US" sz="1600" b="1" i="0" u="none" strike="noStrike">
                <a:solidFill>
                  <a:srgbClr val="000000"/>
                </a:solidFill>
                <a:latin typeface="Calibri"/>
                <a:ea typeface="Calibri"/>
                <a:cs typeface="Calibri"/>
              </a:rPr>
              <a:pPr algn="ctr"/>
              <a:t>Unbonding/Peeling</a:t>
            </a:fld>
            <a:endParaRPr lang="en-US" sz="2400" b="1" i="0" u="none" strike="noStrike">
              <a:solidFill>
                <a:srgbClr val="000000"/>
              </a:solidFill>
              <a:latin typeface="Calibri"/>
              <a:ea typeface="Calibri"/>
              <a:cs typeface="Calibri"/>
            </a:endParaRPr>
          </a:p>
        </xdr:txBody>
      </xdr:sp>
      <xdr:pic>
        <xdr:nvPicPr>
          <xdr:cNvPr id="53" name="Graphic 52" descr="Warning with solid fill">
            <a:extLst>
              <a:ext uri="{FF2B5EF4-FFF2-40B4-BE49-F238E27FC236}">
                <a16:creationId xmlns:a16="http://schemas.microsoft.com/office/drawing/2014/main" id="{B6403D3C-B9E6-4DEA-B801-3F4C109BE908}"/>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834651" y="1905000"/>
            <a:ext cx="648000" cy="726216"/>
          </a:xfrm>
          <a:prstGeom prst="rect">
            <a:avLst/>
          </a:prstGeom>
        </xdr:spPr>
      </xdr:pic>
    </xdr:grpSp>
    <xdr:clientData/>
  </xdr:twoCellAnchor>
  <xdr:twoCellAnchor>
    <xdr:from>
      <xdr:col>23</xdr:col>
      <xdr:colOff>483153</xdr:colOff>
      <xdr:row>34</xdr:row>
      <xdr:rowOff>82821</xdr:rowOff>
    </xdr:from>
    <xdr:to>
      <xdr:col>29</xdr:col>
      <xdr:colOff>414131</xdr:colOff>
      <xdr:row>49</xdr:row>
      <xdr:rowOff>27605</xdr:rowOff>
    </xdr:to>
    <xdr:graphicFrame macro="">
      <xdr:nvGraphicFramePr>
        <xdr:cNvPr id="2" name="Chart 1">
          <a:extLst>
            <a:ext uri="{FF2B5EF4-FFF2-40B4-BE49-F238E27FC236}">
              <a16:creationId xmlns:a16="http://schemas.microsoft.com/office/drawing/2014/main" id="{BEAEE7D3-7002-49D4-AAB6-4EA756413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579781</xdr:colOff>
      <xdr:row>14</xdr:row>
      <xdr:rowOff>27610</xdr:rowOff>
    </xdr:from>
    <xdr:to>
      <xdr:col>29</xdr:col>
      <xdr:colOff>496955</xdr:colOff>
      <xdr:row>33</xdr:row>
      <xdr:rowOff>69021</xdr:rowOff>
    </xdr:to>
    <xdr:sp macro="" textlink="">
      <xdr:nvSpPr>
        <xdr:cNvPr id="54" name="Rectangle 53">
          <a:extLst>
            <a:ext uri="{FF2B5EF4-FFF2-40B4-BE49-F238E27FC236}">
              <a16:creationId xmlns:a16="http://schemas.microsoft.com/office/drawing/2014/main" id="{FFE3508F-01E3-5FFB-F5C8-94D6D0761DB2}"/>
            </a:ext>
          </a:extLst>
        </xdr:cNvPr>
        <xdr:cNvSpPr/>
      </xdr:nvSpPr>
      <xdr:spPr>
        <a:xfrm>
          <a:off x="14549781" y="2733262"/>
          <a:ext cx="3561522" cy="3713368"/>
        </a:xfrm>
        <a:prstGeom prst="rect">
          <a:avLst/>
        </a:prstGeom>
        <a:ln>
          <a:solidFill>
            <a:schemeClr val="bg1">
              <a:lumMod val="75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24</xdr:col>
      <xdr:colOff>32440</xdr:colOff>
      <xdr:row>14</xdr:row>
      <xdr:rowOff>160130</xdr:rowOff>
    </xdr:from>
    <xdr:to>
      <xdr:col>29</xdr:col>
      <xdr:colOff>379483</xdr:colOff>
      <xdr:row>21</xdr:row>
      <xdr:rowOff>139304</xdr:rowOff>
    </xdr:to>
    <mc:AlternateContent xmlns:mc="http://schemas.openxmlformats.org/markup-compatibility/2006" xmlns:tsle="http://schemas.microsoft.com/office/drawing/2012/timeslicer">
      <mc:Choice Requires="tsle">
        <xdr:graphicFrame macro="">
          <xdr:nvGraphicFramePr>
            <xdr:cNvPr id="56" name="Date 1">
              <a:extLst>
                <a:ext uri="{FF2B5EF4-FFF2-40B4-BE49-F238E27FC236}">
                  <a16:creationId xmlns:a16="http://schemas.microsoft.com/office/drawing/2014/main" id="{927FE44D-B645-412E-8B8A-BA5E7C19EAF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4609831" y="2865782"/>
              <a:ext cx="3384000" cy="1332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9387</xdr:colOff>
      <xdr:row>22</xdr:row>
      <xdr:rowOff>52505</xdr:rowOff>
    </xdr:from>
    <xdr:to>
      <xdr:col>29</xdr:col>
      <xdr:colOff>392430</xdr:colOff>
      <xdr:row>26</xdr:row>
      <xdr:rowOff>173932</xdr:rowOff>
    </xdr:to>
    <mc:AlternateContent xmlns:mc="http://schemas.openxmlformats.org/markup-compatibility/2006" xmlns:a14="http://schemas.microsoft.com/office/drawing/2010/main">
      <mc:Choice Requires="a14">
        <xdr:graphicFrame macro="">
          <xdr:nvGraphicFramePr>
            <xdr:cNvPr id="57" name="Production Line 3">
              <a:extLst>
                <a:ext uri="{FF2B5EF4-FFF2-40B4-BE49-F238E27FC236}">
                  <a16:creationId xmlns:a16="http://schemas.microsoft.com/office/drawing/2014/main" id="{88F16C7C-4143-4AFC-B05B-752514EF8507}"/>
                </a:ext>
              </a:extLst>
            </xdr:cNvPr>
            <xdr:cNvGraphicFramePr/>
          </xdr:nvGraphicFramePr>
          <xdr:xfrm>
            <a:off x="0" y="0"/>
            <a:ext cx="0" cy="0"/>
          </xdr:xfrm>
          <a:graphic>
            <a:graphicData uri="http://schemas.microsoft.com/office/drawing/2010/slicer">
              <sle:slicer xmlns:sle="http://schemas.microsoft.com/office/drawing/2010/slicer" name="Production Line 3"/>
            </a:graphicData>
          </a:graphic>
        </xdr:graphicFrame>
      </mc:Choice>
      <mc:Fallback xmlns="">
        <xdr:sp macro="" textlink="">
          <xdr:nvSpPr>
            <xdr:cNvPr id="0" name=""/>
            <xdr:cNvSpPr>
              <a:spLocks noTextEdit="1"/>
            </xdr:cNvSpPr>
          </xdr:nvSpPr>
          <xdr:spPr>
            <a:xfrm>
              <a:off x="14586778" y="4304244"/>
              <a:ext cx="3420000" cy="894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25398</xdr:colOff>
      <xdr:row>27</xdr:row>
      <xdr:rowOff>19328</xdr:rowOff>
    </xdr:from>
    <xdr:to>
      <xdr:col>29</xdr:col>
      <xdr:colOff>408441</xdr:colOff>
      <xdr:row>33</xdr:row>
      <xdr:rowOff>41413</xdr:rowOff>
    </xdr:to>
    <mc:AlternateContent xmlns:mc="http://schemas.openxmlformats.org/markup-compatibility/2006" xmlns:a14="http://schemas.microsoft.com/office/drawing/2010/main">
      <mc:Choice Requires="a14">
        <xdr:graphicFrame macro="">
          <xdr:nvGraphicFramePr>
            <xdr:cNvPr id="58" name="Primary Defect Type 2">
              <a:extLst>
                <a:ext uri="{FF2B5EF4-FFF2-40B4-BE49-F238E27FC236}">
                  <a16:creationId xmlns:a16="http://schemas.microsoft.com/office/drawing/2014/main" id="{C21607E8-E47B-4A23-B0FA-7FA2EC328E3D}"/>
                </a:ext>
              </a:extLst>
            </xdr:cNvPr>
            <xdr:cNvGraphicFramePr/>
          </xdr:nvGraphicFramePr>
          <xdr:xfrm>
            <a:off x="0" y="0"/>
            <a:ext cx="0" cy="0"/>
          </xdr:xfrm>
          <a:graphic>
            <a:graphicData uri="http://schemas.microsoft.com/office/drawing/2010/slicer">
              <sle:slicer xmlns:sle="http://schemas.microsoft.com/office/drawing/2010/slicer" name="Primary Defect Type 2"/>
            </a:graphicData>
          </a:graphic>
        </xdr:graphicFrame>
      </mc:Choice>
      <mc:Fallback xmlns="">
        <xdr:sp macro="" textlink="">
          <xdr:nvSpPr>
            <xdr:cNvPr id="0" name=""/>
            <xdr:cNvSpPr>
              <a:spLocks noTextEdit="1"/>
            </xdr:cNvSpPr>
          </xdr:nvSpPr>
          <xdr:spPr>
            <a:xfrm>
              <a:off x="14602789" y="5237371"/>
              <a:ext cx="3420000" cy="1181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110435</xdr:colOff>
      <xdr:row>9</xdr:row>
      <xdr:rowOff>125345</xdr:rowOff>
    </xdr:from>
    <xdr:to>
      <xdr:col>23</xdr:col>
      <xdr:colOff>151849</xdr:colOff>
      <xdr:row>14</xdr:row>
      <xdr:rowOff>82826</xdr:rowOff>
    </xdr:to>
    <xdr:grpSp>
      <xdr:nvGrpSpPr>
        <xdr:cNvPr id="69" name="Group 68">
          <a:extLst>
            <a:ext uri="{FF2B5EF4-FFF2-40B4-BE49-F238E27FC236}">
              <a16:creationId xmlns:a16="http://schemas.microsoft.com/office/drawing/2014/main" id="{B6411CF9-9818-BDEC-7D08-03678B3DB639}"/>
            </a:ext>
          </a:extLst>
        </xdr:cNvPr>
        <xdr:cNvGrpSpPr/>
      </xdr:nvGrpSpPr>
      <xdr:grpSpPr>
        <a:xfrm>
          <a:off x="10938856" y="1779687"/>
          <a:ext cx="3049309" cy="876560"/>
          <a:chOff x="10021956" y="1781867"/>
          <a:chExt cx="3078371" cy="923785"/>
        </a:xfrm>
      </xdr:grpSpPr>
      <xdr:sp macro="" textlink="">
        <xdr:nvSpPr>
          <xdr:cNvPr id="70" name="Rectangle 69">
            <a:extLst>
              <a:ext uri="{FF2B5EF4-FFF2-40B4-BE49-F238E27FC236}">
                <a16:creationId xmlns:a16="http://schemas.microsoft.com/office/drawing/2014/main" id="{18B4E4B7-1997-25F7-8DEA-FAA3627204A3}"/>
              </a:ext>
            </a:extLst>
          </xdr:cNvPr>
          <xdr:cNvSpPr/>
        </xdr:nvSpPr>
        <xdr:spPr>
          <a:xfrm>
            <a:off x="10050670" y="1781867"/>
            <a:ext cx="2926522" cy="883478"/>
          </a:xfrm>
          <a:prstGeom prst="rect">
            <a:avLst/>
          </a:prstGeom>
          <a:ln>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71" name="Rectangle 70">
            <a:extLst>
              <a:ext uri="{FF2B5EF4-FFF2-40B4-BE49-F238E27FC236}">
                <a16:creationId xmlns:a16="http://schemas.microsoft.com/office/drawing/2014/main" id="{5EDC0003-6C60-7878-A87A-4247A149F3FA}"/>
              </a:ext>
            </a:extLst>
          </xdr:cNvPr>
          <xdr:cNvSpPr/>
        </xdr:nvSpPr>
        <xdr:spPr>
          <a:xfrm>
            <a:off x="10684565" y="1795675"/>
            <a:ext cx="1754257" cy="3589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1400" b="0" i="0" u="none" strike="noStrike" baseline="0">
                <a:solidFill>
                  <a:srgbClr val="000000"/>
                </a:solidFill>
                <a:latin typeface="Calibri"/>
                <a:ea typeface="Calibri"/>
                <a:cs typeface="Calibri"/>
              </a:rPr>
              <a:t>Primary Root Cause</a:t>
            </a:r>
            <a:endParaRPr lang="en-US" sz="1400" b="0" i="0" u="none" strike="noStrike">
              <a:solidFill>
                <a:srgbClr val="000000"/>
              </a:solidFill>
              <a:latin typeface="Calibri"/>
              <a:ea typeface="Calibri"/>
              <a:cs typeface="Calibri"/>
            </a:endParaRPr>
          </a:p>
        </xdr:txBody>
      </xdr:sp>
      <xdr:sp macro="" textlink="Pivot!N13">
        <xdr:nvSpPr>
          <xdr:cNvPr id="72" name="Rectangle 71">
            <a:extLst>
              <a:ext uri="{FF2B5EF4-FFF2-40B4-BE49-F238E27FC236}">
                <a16:creationId xmlns:a16="http://schemas.microsoft.com/office/drawing/2014/main" id="{12F9E213-30DB-9C4E-1869-29CCFD45E544}"/>
              </a:ext>
            </a:extLst>
          </xdr:cNvPr>
          <xdr:cNvSpPr/>
        </xdr:nvSpPr>
        <xdr:spPr>
          <a:xfrm>
            <a:off x="10491305" y="2099368"/>
            <a:ext cx="2609022" cy="6062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fld id="{94D3C232-9969-4570-8D67-B98EFB774181}" type="TxLink">
              <a:rPr lang="en-US" sz="1400" b="1" i="0" u="none" strike="noStrike">
                <a:solidFill>
                  <a:srgbClr val="000000"/>
                </a:solidFill>
                <a:latin typeface="Calibri"/>
                <a:ea typeface="Calibri"/>
                <a:cs typeface="Calibri"/>
              </a:rPr>
              <a:pPr algn="l"/>
              <a:t>Inadequate primer application / Low pressing temperature</a:t>
            </a:fld>
            <a:endParaRPr lang="en-US" sz="2400" b="1" i="0" u="none" strike="noStrike">
              <a:solidFill>
                <a:srgbClr val="000000"/>
              </a:solidFill>
              <a:latin typeface="Calibri"/>
              <a:ea typeface="Calibri"/>
              <a:cs typeface="Calibri"/>
            </a:endParaRPr>
          </a:p>
        </xdr:txBody>
      </xdr:sp>
      <xdr:pic>
        <xdr:nvPicPr>
          <xdr:cNvPr id="73" name="Graphic 72" descr="Magnifying glass with solid fill">
            <a:extLst>
              <a:ext uri="{FF2B5EF4-FFF2-40B4-BE49-F238E27FC236}">
                <a16:creationId xmlns:a16="http://schemas.microsoft.com/office/drawing/2014/main" id="{3E25B47F-5FC5-BAE9-9069-E11E5C5E33B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0021956" y="1946414"/>
            <a:ext cx="612000" cy="612000"/>
          </a:xfrm>
          <a:prstGeom prst="rect">
            <a:avLst/>
          </a:prstGeom>
        </xdr:spPr>
      </xdr:pic>
    </xdr:grpSp>
    <xdr:clientData/>
  </xdr:twoCellAnchor>
  <xdr:twoCellAnchor>
    <xdr:from>
      <xdr:col>0</xdr:col>
      <xdr:colOff>55217</xdr:colOff>
      <xdr:row>49</xdr:row>
      <xdr:rowOff>165651</xdr:rowOff>
    </xdr:from>
    <xdr:to>
      <xdr:col>8</xdr:col>
      <xdr:colOff>331305</xdr:colOff>
      <xdr:row>55</xdr:row>
      <xdr:rowOff>151848</xdr:rowOff>
    </xdr:to>
    <xdr:sp macro="" textlink="">
      <xdr:nvSpPr>
        <xdr:cNvPr id="5" name="Rectangle 4">
          <a:extLst>
            <a:ext uri="{FF2B5EF4-FFF2-40B4-BE49-F238E27FC236}">
              <a16:creationId xmlns:a16="http://schemas.microsoft.com/office/drawing/2014/main" id="{FB6A40C7-69C5-2C56-9BDA-06DA0E4D5591}"/>
            </a:ext>
          </a:extLst>
        </xdr:cNvPr>
        <xdr:cNvSpPr/>
      </xdr:nvSpPr>
      <xdr:spPr>
        <a:xfrm>
          <a:off x="55217" y="9635434"/>
          <a:ext cx="5135218" cy="114576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lvl="0" algn="l"/>
          <a:r>
            <a:rPr lang="en-US" sz="1200" b="1">
              <a:latin typeface="+mj-lt"/>
            </a:rPr>
            <a:t>KEY</a:t>
          </a:r>
          <a:r>
            <a:rPr lang="en-US" sz="1200" b="1" baseline="0">
              <a:latin typeface="+mj-lt"/>
            </a:rPr>
            <a:t> INSIGHT	</a:t>
          </a:r>
        </a:p>
        <a:p>
          <a:pPr algn="l"/>
          <a:r>
            <a:rPr lang="en-US" sz="1200">
              <a:latin typeface="Times New Roman" panose="02020603050405020304" pitchFamily="18" charset="0"/>
              <a:cs typeface="Times New Roman" panose="02020603050405020304" pitchFamily="18" charset="0"/>
            </a:rPr>
            <a:t>- Overall production achieved </a:t>
          </a:r>
          <a:r>
            <a:rPr lang="en-US" sz="1200" b="1">
              <a:latin typeface="Times New Roman" panose="02020603050405020304" pitchFamily="18" charset="0"/>
              <a:cs typeface="Times New Roman" panose="02020603050405020304" pitchFamily="18" charset="0"/>
            </a:rPr>
            <a:t>91.7% of target.</a:t>
          </a:r>
        </a:p>
        <a:p>
          <a:pPr algn="l"/>
          <a:r>
            <a:rPr lang="en-US" sz="120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Line C – Assembly </a:t>
          </a:r>
          <a:r>
            <a:rPr lang="en-US" sz="1200">
              <a:latin typeface="Times New Roman" panose="02020603050405020304" pitchFamily="18" charset="0"/>
              <a:cs typeface="Times New Roman" panose="02020603050405020304" pitchFamily="18" charset="0"/>
            </a:rPr>
            <a:t>recorded the highest production achievement (92.1%). </a:t>
          </a:r>
        </a:p>
        <a:p>
          <a:pPr algn="l"/>
          <a:r>
            <a:rPr lang="en-US" sz="120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Unbonding/Peeling </a:t>
          </a:r>
          <a:r>
            <a:rPr lang="en-US" sz="1200">
              <a:latin typeface="Times New Roman" panose="02020603050405020304" pitchFamily="18" charset="0"/>
              <a:cs typeface="Times New Roman" panose="02020603050405020304" pitchFamily="18" charset="0"/>
            </a:rPr>
            <a:t>was the most frequent defect </a:t>
          </a:r>
          <a:r>
            <a:rPr lang="en-US" sz="1200" b="1">
              <a:latin typeface="Times New Roman" panose="02020603050405020304" pitchFamily="18" charset="0"/>
              <a:cs typeface="Times New Roman" panose="02020603050405020304" pitchFamily="18" charset="0"/>
            </a:rPr>
            <a:t>(1,642 pairs, 33.3%)</a:t>
          </a:r>
          <a:r>
            <a:rPr lang="en-US" sz="1200" b="0">
              <a:latin typeface="Times New Roman" panose="02020603050405020304" pitchFamily="18" charset="0"/>
              <a:cs typeface="Times New Roman" panose="02020603050405020304" pitchFamily="18" charset="0"/>
            </a:rPr>
            <a:t>.</a:t>
          </a:r>
          <a:endParaRPr lang="en-US" sz="1200" b="1">
            <a:latin typeface="Times New Roman" panose="02020603050405020304" pitchFamily="18" charset="0"/>
            <a:cs typeface="Times New Roman" panose="02020603050405020304" pitchFamily="18" charset="0"/>
          </a:endParaRPr>
        </a:p>
        <a:p>
          <a:pPr algn="l"/>
          <a:r>
            <a:rPr lang="en-US" sz="1200">
              <a:latin typeface="Times New Roman" panose="02020603050405020304" pitchFamily="18" charset="0"/>
              <a:cs typeface="Times New Roman" panose="02020603050405020304" pitchFamily="18" charset="0"/>
            </a:rPr>
            <a:t>- The top </a:t>
          </a:r>
          <a:r>
            <a:rPr lang="en-US" sz="1200" b="1">
              <a:latin typeface="Times New Roman" panose="02020603050405020304" pitchFamily="18" charset="0"/>
              <a:cs typeface="Times New Roman" panose="02020603050405020304" pitchFamily="18" charset="0"/>
            </a:rPr>
            <a:t>4 defect types</a:t>
          </a:r>
          <a:r>
            <a:rPr lang="en-US" sz="1200">
              <a:latin typeface="Times New Roman" panose="02020603050405020304" pitchFamily="18" charset="0"/>
              <a:cs typeface="Times New Roman" panose="02020603050405020304" pitchFamily="18" charset="0"/>
            </a:rPr>
            <a:t> contributed </a:t>
          </a:r>
          <a:r>
            <a:rPr lang="en-US" sz="1200" b="1">
              <a:latin typeface="Times New Roman" panose="02020603050405020304" pitchFamily="18" charset="0"/>
              <a:cs typeface="Times New Roman" panose="02020603050405020304" pitchFamily="18" charset="0"/>
            </a:rPr>
            <a:t>82.5%</a:t>
          </a:r>
          <a:r>
            <a:rPr lang="en-US" sz="1200">
              <a:latin typeface="Times New Roman" panose="02020603050405020304" pitchFamily="18" charset="0"/>
              <a:cs typeface="Times New Roman" panose="02020603050405020304" pitchFamily="18" charset="0"/>
            </a:rPr>
            <a:t> of total defects, indicating the main improvement priorities.</a:t>
          </a:r>
        </a:p>
        <a:p>
          <a:pPr algn="l"/>
          <a:endParaRPr lang="en-US" sz="1200" b="0">
            <a:latin typeface="+mj-lt"/>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0.76985</cdr:x>
      <cdr:y>0.2681</cdr:y>
    </cdr:from>
    <cdr:to>
      <cdr:x>0.88378</cdr:x>
      <cdr:y>0.2681</cdr:y>
    </cdr:to>
    <cdr:cxnSp macro="">
      <cdr:nvCxnSpPr>
        <cdr:cNvPr id="3" name="Straight Connector 2">
          <a:extLst xmlns:a="http://schemas.openxmlformats.org/drawingml/2006/main">
            <a:ext uri="{FF2B5EF4-FFF2-40B4-BE49-F238E27FC236}">
              <a16:creationId xmlns:a16="http://schemas.microsoft.com/office/drawing/2014/main" id="{19386B93-AE28-E0A0-53DF-7FC86DDDAA64}"/>
            </a:ext>
          </a:extLst>
        </cdr:cNvPr>
        <cdr:cNvCxnSpPr/>
      </cdr:nvCxnSpPr>
      <cdr:spPr>
        <a:xfrm xmlns:a="http://schemas.openxmlformats.org/drawingml/2006/main">
          <a:off x="3932116" y="753438"/>
          <a:ext cx="581910" cy="0"/>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0.56427</cdr:x>
      <cdr:y>0.28775</cdr:y>
    </cdr:from>
    <cdr:to>
      <cdr:x>0.83264</cdr:x>
      <cdr:y>0.44494</cdr:y>
    </cdr:to>
    <cdr:sp macro="" textlink="">
      <cdr:nvSpPr>
        <cdr:cNvPr id="4" name="Rectangle 3">
          <a:extLst xmlns:a="http://schemas.openxmlformats.org/drawingml/2006/main">
            <a:ext uri="{FF2B5EF4-FFF2-40B4-BE49-F238E27FC236}">
              <a16:creationId xmlns:a16="http://schemas.microsoft.com/office/drawing/2014/main" id="{57743C9F-41E1-066C-7301-6DFD57D10CF8}"/>
            </a:ext>
          </a:extLst>
        </cdr:cNvPr>
        <cdr:cNvSpPr/>
      </cdr:nvSpPr>
      <cdr:spPr>
        <a:xfrm xmlns:a="http://schemas.openxmlformats.org/drawingml/2006/main">
          <a:off x="3449054" y="767893"/>
          <a:ext cx="1640390" cy="41948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accent2"/>
        </a:fontRef>
      </cdr:style>
      <cdr:txBody>
        <a:bodyPr xmlns:a="http://schemas.openxmlformats.org/drawingml/2006/main" vertOverflow="clip"/>
        <a:lstStyle xmlns:a="http://schemas.openxmlformats.org/drawingml/2006/main"/>
        <a:p xmlns:a="http://schemas.openxmlformats.org/drawingml/2006/main">
          <a:r>
            <a:rPr lang="en-US"/>
            <a:t>← Priority Improvement</a:t>
          </a:r>
          <a:endParaRPr lang="en-US" kern="1200"/>
        </a:p>
      </cdr:txBody>
    </cdr:sp>
  </cdr:relSizeAnchor>
  <cdr:relSizeAnchor xmlns:cdr="http://schemas.openxmlformats.org/drawingml/2006/chartDrawing">
    <cdr:from>
      <cdr:x>0.57366</cdr:x>
      <cdr:y>0.28775</cdr:y>
    </cdr:from>
    <cdr:to>
      <cdr:x>0.57613</cdr:x>
      <cdr:y>0.48914</cdr:y>
    </cdr:to>
    <cdr:cxnSp macro="">
      <cdr:nvCxnSpPr>
        <cdr:cNvPr id="6" name="Straight Connector 5">
          <a:extLst xmlns:a="http://schemas.openxmlformats.org/drawingml/2006/main">
            <a:ext uri="{FF2B5EF4-FFF2-40B4-BE49-F238E27FC236}">
              <a16:creationId xmlns:a16="http://schemas.microsoft.com/office/drawing/2014/main" id="{9B38B008-20E7-DB0A-F634-FBF06408F3ED}"/>
            </a:ext>
          </a:extLst>
        </cdr:cNvPr>
        <cdr:cNvCxnSpPr/>
      </cdr:nvCxnSpPr>
      <cdr:spPr>
        <a:xfrm xmlns:a="http://schemas.openxmlformats.org/drawingml/2006/main">
          <a:off x="2930011" y="808661"/>
          <a:ext cx="12616" cy="565964"/>
        </a:xfrm>
        <a:prstGeom xmlns:a="http://schemas.openxmlformats.org/drawingml/2006/main" prst="line">
          <a:avLst/>
        </a:prstGeom>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0.22917</cdr:x>
      <cdr:y>0.55382</cdr:y>
    </cdr:from>
    <cdr:to>
      <cdr:x>0.46042</cdr:x>
      <cdr:y>0.69618</cdr:y>
    </cdr:to>
    <cdr:sp macro="" textlink="">
      <cdr:nvSpPr>
        <cdr:cNvPr id="3" name="TextBox 2">
          <a:extLst xmlns:a="http://schemas.openxmlformats.org/drawingml/2006/main">
            <a:ext uri="{FF2B5EF4-FFF2-40B4-BE49-F238E27FC236}">
              <a16:creationId xmlns:a16="http://schemas.microsoft.com/office/drawing/2014/main" id="{57044825-B6D5-7D4B-ED99-5176E332B700}"/>
            </a:ext>
          </a:extLst>
        </cdr:cNvPr>
        <cdr:cNvSpPr txBox="1"/>
      </cdr:nvSpPr>
      <cdr:spPr>
        <a:xfrm xmlns:a="http://schemas.openxmlformats.org/drawingml/2006/main">
          <a:off x="1047750" y="1519238"/>
          <a:ext cx="10572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0.25208</cdr:x>
      <cdr:y>0.5191</cdr:y>
    </cdr:from>
    <cdr:to>
      <cdr:x>0.44583</cdr:x>
      <cdr:y>0.64757</cdr:y>
    </cdr:to>
    <cdr:sp macro="" textlink="">
      <cdr:nvSpPr>
        <cdr:cNvPr id="4" name="TextBox 3">
          <a:extLst xmlns:a="http://schemas.openxmlformats.org/drawingml/2006/main">
            <a:ext uri="{FF2B5EF4-FFF2-40B4-BE49-F238E27FC236}">
              <a16:creationId xmlns:a16="http://schemas.microsoft.com/office/drawing/2014/main" id="{F9F4631A-F25D-2C92-8B85-18ACD19EB790}"/>
            </a:ext>
          </a:extLst>
        </cdr:cNvPr>
        <cdr:cNvSpPr txBox="1"/>
      </cdr:nvSpPr>
      <cdr:spPr>
        <a:xfrm xmlns:a="http://schemas.openxmlformats.org/drawingml/2006/main">
          <a:off x="1152525" y="1423988"/>
          <a:ext cx="885825" cy="3524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0.34272</cdr:x>
      <cdr:y>0.50322</cdr:y>
    </cdr:from>
    <cdr:to>
      <cdr:x>0.70423</cdr:x>
      <cdr:y>0.74477</cdr:y>
    </cdr:to>
    <cdr:sp macro="" textlink="">
      <cdr:nvSpPr>
        <cdr:cNvPr id="2" name="Rectangle 1">
          <a:extLst xmlns:a="http://schemas.openxmlformats.org/drawingml/2006/main">
            <a:ext uri="{FF2B5EF4-FFF2-40B4-BE49-F238E27FC236}">
              <a16:creationId xmlns:a16="http://schemas.microsoft.com/office/drawing/2014/main" id="{65F0CF91-6417-EDCE-EC45-DF3CD808A6D4}"/>
            </a:ext>
          </a:extLst>
        </cdr:cNvPr>
        <cdr:cNvSpPr/>
      </cdr:nvSpPr>
      <cdr:spPr>
        <a:xfrm xmlns:a="http://schemas.openxmlformats.org/drawingml/2006/main">
          <a:off x="1007717" y="1380436"/>
          <a:ext cx="1062935" cy="66260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pPr algn="ctr"/>
          <a:r>
            <a:rPr lang="en-US" kern="1200"/>
            <a:t>Total action </a:t>
          </a:r>
        </a:p>
        <a:p xmlns:a="http://schemas.openxmlformats.org/drawingml/2006/main">
          <a:pPr algn="ctr"/>
          <a:r>
            <a:rPr lang="en-US" kern="1200"/>
            <a:t>181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wana Luvi" refreshedDate="46213.444982754627" createdVersion="8" refreshedVersion="8" minRefreshableVersion="3" recordCount="181" xr:uid="{854FFD93-EEDD-468C-8C47-CD7B3BC9FD0A}">
  <cacheSource type="worksheet">
    <worksheetSource ref="A1:N182" sheet="Production Data Tracking"/>
  </cacheSource>
  <cacheFields count="21">
    <cacheField name="Date" numFmtId="14">
      <sharedItems containsSemiMixedTypes="0" containsNonDate="0" containsDate="1" containsString="0" minDate="2026-01-01T00:00:00" maxDate="2026-09-08T00:00:00" count="25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u="1"/>
        <d v="2026-07-02T00:00:00" u="1"/>
        <d v="2026-07-03T00:00:00" u="1"/>
        <d v="2026-07-04T00:00:00" u="1"/>
        <d v="2026-07-05T00:00:00" u="1"/>
        <d v="2026-07-06T00:00:00" u="1"/>
        <d v="2026-07-07T00:00:00" u="1"/>
        <d v="2026-07-08T00:00:00" u="1"/>
        <d v="2026-07-09T00:00:00" u="1"/>
        <d v="2026-07-10T00:00:00" u="1"/>
        <d v="2026-07-11T00:00:00" u="1"/>
        <d v="2026-07-12T00:00:00" u="1"/>
        <d v="2026-07-13T00:00:00" u="1"/>
        <d v="2026-07-14T00:00:00" u="1"/>
        <d v="2026-07-15T00:00:00" u="1"/>
        <d v="2026-07-16T00:00:00" u="1"/>
        <d v="2026-07-17T00:00:00" u="1"/>
        <d v="2026-07-18T00:00:00" u="1"/>
        <d v="2026-07-19T00:00:00" u="1"/>
        <d v="2026-07-20T00:00:00" u="1"/>
        <d v="2026-07-21T00:00:00" u="1"/>
        <d v="2026-07-22T00:00:00" u="1"/>
        <d v="2026-07-23T00:00:00" u="1"/>
        <d v="2026-07-24T00:00:00" u="1"/>
        <d v="2026-07-25T00:00:00" u="1"/>
        <d v="2026-07-26T00:00:00" u="1"/>
        <d v="2026-07-27T00:00:00" u="1"/>
        <d v="2026-07-28T00:00:00" u="1"/>
        <d v="2026-07-29T00:00:00" u="1"/>
        <d v="2026-07-30T00:00:00" u="1"/>
        <d v="2026-07-31T00:00:00" u="1"/>
        <d v="2026-08-01T00:00:00" u="1"/>
        <d v="2026-08-02T00:00:00" u="1"/>
        <d v="2026-08-03T00:00:00" u="1"/>
        <d v="2026-08-04T00:00:00" u="1"/>
        <d v="2026-08-05T00:00:00" u="1"/>
        <d v="2026-08-06T00:00:00" u="1"/>
        <d v="2026-08-07T00:00:00" u="1"/>
        <d v="2026-08-08T00:00:00" u="1"/>
        <d v="2026-08-09T00:00:00" u="1"/>
        <d v="2026-08-10T00:00:00" u="1"/>
        <d v="2026-08-11T00:00:00" u="1"/>
        <d v="2026-08-12T00:00:00" u="1"/>
        <d v="2026-08-13T00:00:00" u="1"/>
        <d v="2026-08-14T00:00:00" u="1"/>
        <d v="2026-08-15T00:00:00" u="1"/>
        <d v="2026-08-16T00:00:00" u="1"/>
        <d v="2026-08-17T00:00:00" u="1"/>
        <d v="2026-08-18T00:00:00" u="1"/>
        <d v="2026-08-19T00:00:00" u="1"/>
        <d v="2026-08-20T00:00:00" u="1"/>
        <d v="2026-08-21T00:00:00" u="1"/>
        <d v="2026-08-22T00:00:00" u="1"/>
        <d v="2026-08-23T00:00:00" u="1"/>
        <d v="2026-08-24T00:00:00" u="1"/>
        <d v="2026-08-25T00:00:00" u="1"/>
        <d v="2026-08-26T00:00:00" u="1"/>
        <d v="2026-08-27T00:00:00" u="1"/>
        <d v="2026-08-28T00:00:00" u="1"/>
        <d v="2026-08-29T00:00:00" u="1"/>
        <d v="2026-08-30T00:00:00" u="1"/>
        <d v="2026-08-31T00:00:00" u="1"/>
        <d v="2026-09-01T00:00:00" u="1"/>
        <d v="2026-09-02T00:00:00" u="1"/>
        <d v="2026-09-03T00:00:00" u="1"/>
        <d v="2026-09-04T00:00:00" u="1"/>
        <d v="2026-09-05T00:00:00" u="1"/>
        <d v="2026-09-06T00:00:00" u="1"/>
        <d v="2026-09-07T00:00:00" u="1"/>
      </sharedItems>
      <fieldGroup par="15"/>
    </cacheField>
    <cacheField name="Date (General)" numFmtId="0">
      <sharedItems containsSemiMixedTypes="0" containsString="0" containsNumber="1" containsInteger="1" minValue="46023" maxValue="46203"/>
    </cacheField>
    <cacheField name=" Date (Tanggal)" numFmtId="164">
      <sharedItems/>
    </cacheField>
    <cacheField name="Production Line" numFmtId="0">
      <sharedItems count="4">
        <s v="Line A - Outsole"/>
        <s v="Line D - Molding"/>
        <s v="Line C - Assembly"/>
        <s v="Line B - Midsole"/>
      </sharedItems>
    </cacheField>
    <cacheField name="Shift" numFmtId="0">
      <sharedItems count="3">
        <s v="Shift 2"/>
        <s v="Shift 3"/>
        <s v="Shift 1"/>
      </sharedItems>
    </cacheField>
    <cacheField name="Target Output (Pairs)" numFmtId="3">
      <sharedItems containsSemiMixedTypes="0" containsString="0" containsNumber="1" containsInteger="1" minValue="1000" maxValue="1500"/>
    </cacheField>
    <cacheField name="Actual Output (Pairs)" numFmtId="3">
      <sharedItems containsSemiMixedTypes="0" containsString="0" containsNumber="1" containsInteger="1" minValue="820" maxValue="1522"/>
    </cacheField>
    <cacheField name="Primary Defect Type" numFmtId="0">
      <sharedItems count="6">
        <s v="Unbonding/Peeling"/>
        <s v="Under-cure"/>
        <s v="Flash/Over-overflow"/>
        <s v="Scratches/Marks"/>
        <s v="Air Bubble"/>
        <s v="Deformation"/>
      </sharedItems>
    </cacheField>
    <cacheField name="Defect Qty (Pairs)" numFmtId="3">
      <sharedItems containsSemiMixedTypes="0" containsString="0" containsNumber="1" containsInteger="1" minValue="5" maxValue="57"/>
    </cacheField>
    <cacheField name="Root Cause Analysis" numFmtId="0">
      <sharedItems count="6">
        <s v="Inadequate primer application / Low pressing temperature"/>
        <s v="Heater element malfunction / Short cycle time"/>
        <s v="Worn-out mold borders / Excessive compound injection"/>
        <s v="Rough handling during demolding / Dirty mold cavity"/>
        <s v="Improper injection pressure / Material moisture"/>
        <s v="Premature demolding / High cooling temperature"/>
      </sharedItems>
    </cacheField>
    <cacheField name="Responsible Department" numFmtId="0">
      <sharedItems count="4">
        <s v="Machine Maintenance"/>
        <s v="Operator Training"/>
        <s v="Process Engineering"/>
        <s v="Material QC"/>
      </sharedItems>
    </cacheField>
    <cacheField name="Action Status" numFmtId="0">
      <sharedItems count="3">
        <s v="In Progress"/>
        <s v="Completed"/>
        <s v="Pending Verification"/>
      </sharedItems>
    </cacheField>
    <cacheField name="% Achievement KPI" numFmtId="165">
      <sharedItems containsSemiMixedTypes="0" containsString="0" containsNumber="1" minValue="0.82" maxValue="1.018"/>
    </cacheField>
    <cacheField name="Defect Rate (%)" numFmtId="10">
      <sharedItems containsSemiMixedTypes="0" containsString="0" containsNumber="1" minValue="4.4091710758377423E-3" maxValue="6.8181818181818177E-2"/>
    </cacheField>
    <cacheField name="Days (Date)" numFmtId="0" databaseField="0">
      <fieldGroup base="0">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ei"/>
          <s v="02-Mei"/>
          <s v="03-Mei"/>
          <s v="04-Mei"/>
          <s v="05-Mei"/>
          <s v="06-Mei"/>
          <s v="07-Mei"/>
          <s v="08-Mei"/>
          <s v="09-Mei"/>
          <s v="10-Mei"/>
          <s v="11-Mei"/>
          <s v="12-Mei"/>
          <s v="13-Mei"/>
          <s v="14-Mei"/>
          <s v="15-Mei"/>
          <s v="16-Mei"/>
          <s v="17-Mei"/>
          <s v="18-Mei"/>
          <s v="19-Mei"/>
          <s v="20-Mei"/>
          <s v="21-Mei"/>
          <s v="22-Mei"/>
          <s v="23-Mei"/>
          <s v="24-Mei"/>
          <s v="25-Mei"/>
          <s v="26-Mei"/>
          <s v="27-Mei"/>
          <s v="28-Mei"/>
          <s v="29-Mei"/>
          <s v="30-Mei"/>
          <s v="31-Me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u"/>
          <s v="02-Agu"/>
          <s v="03-Agu"/>
          <s v="04-Agu"/>
          <s v="05-Agu"/>
          <s v="06-Agu"/>
          <s v="07-Agu"/>
          <s v="08-Agu"/>
          <s v="09-Agu"/>
          <s v="10-Agu"/>
          <s v="11-Agu"/>
          <s v="12-Agu"/>
          <s v="13-Agu"/>
          <s v="14-Agu"/>
          <s v="15-Agu"/>
          <s v="16-Agu"/>
          <s v="17-Agu"/>
          <s v="18-Agu"/>
          <s v="19-Agu"/>
          <s v="20-Agu"/>
          <s v="21-Agu"/>
          <s v="22-Agu"/>
          <s v="23-Agu"/>
          <s v="24-Agu"/>
          <s v="25-Agu"/>
          <s v="26-Agu"/>
          <s v="27-Agu"/>
          <s v="28-Agu"/>
          <s v="29-Agu"/>
          <s v="30-Agu"/>
          <s v="31-Agu"/>
          <s v="01-Sep"/>
          <s v="02-Sep"/>
          <s v="03-Sep"/>
          <s v="04-Sep"/>
          <s v="05-Sep"/>
          <s v="06-Sep"/>
          <s v="07-Sep"/>
          <s v="08-Sep"/>
          <s v="09-Sep"/>
          <s v="10-Sep"/>
          <s v="11-Sep"/>
          <s v="12-Sep"/>
          <s v="13-Sep"/>
          <s v="14-Sep"/>
          <s v="15-Sep"/>
          <s v="16-Sep"/>
          <s v="17-Sep"/>
          <s v="18-Sep"/>
          <s v="19-Sep"/>
          <s v="20-Sep"/>
          <s v="21-Sep"/>
          <s v="22-Sep"/>
          <s v="23-Sep"/>
          <s v="24-Sep"/>
          <s v="25-Sep"/>
          <s v="26-Sep"/>
          <s v="27-Sep"/>
          <s v="28-Sep"/>
          <s v="29-Sep"/>
          <s v="30-Sep"/>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v"/>
          <s v="02-Nov"/>
          <s v="03-Nov"/>
          <s v="04-Nov"/>
          <s v="05-Nov"/>
          <s v="06-Nov"/>
          <s v="07-Nov"/>
          <s v="08-Nov"/>
          <s v="09-Nov"/>
          <s v="10-Nov"/>
          <s v="11-Nov"/>
          <s v="12-Nov"/>
          <s v="13-Nov"/>
          <s v="14-Nov"/>
          <s v="15-Nov"/>
          <s v="16-Nov"/>
          <s v="17-Nov"/>
          <s v="18-Nov"/>
          <s v="19-Nov"/>
          <s v="20-Nov"/>
          <s v="21-Nov"/>
          <s v="22-Nov"/>
          <s v="23-Nov"/>
          <s v="24-Nov"/>
          <s v="25-Nov"/>
          <s v="26-Nov"/>
          <s v="27-Nov"/>
          <s v="28-Nov"/>
          <s v="29-Nov"/>
          <s v="30-Nov"/>
          <s v="01-Des"/>
          <s v="02-Des"/>
          <s v="03-Des"/>
          <s v="04-Des"/>
          <s v="05-Des"/>
          <s v="06-Des"/>
          <s v="07-Des"/>
          <s v="08-Des"/>
          <s v="09-Des"/>
          <s v="10-Des"/>
          <s v="11-Des"/>
          <s v="12-Des"/>
          <s v="13-Des"/>
          <s v="14-Des"/>
          <s v="15-Des"/>
          <s v="16-Des"/>
          <s v="17-Des"/>
          <s v="18-Des"/>
          <s v="19-Des"/>
          <s v="20-Des"/>
          <s v="21-Des"/>
          <s v="22-Des"/>
          <s v="23-Des"/>
          <s v="24-Des"/>
          <s v="25-Des"/>
          <s v="26-Des"/>
          <s v="27-Des"/>
          <s v="28-Des"/>
          <s v="29-Des"/>
          <s v="30-Des"/>
          <s v="31-Des"/>
          <s v="&gt;01/07/2026"/>
        </groupItems>
      </fieldGroup>
    </cacheField>
    <cacheField name="Months (Date)" numFmtId="0" databaseField="0">
      <fieldGroup base="0">
        <rangePr groupBy="months" startDate="2026-01-01T00:00:00" endDate="2026-07-01T00:00:00"/>
        <groupItems count="14">
          <s v="&lt;01/01/2026"/>
          <s v="Jan"/>
          <s v="Feb"/>
          <s v="Mar"/>
          <s v="Apr"/>
          <s v="Mei"/>
          <s v="Jun"/>
          <s v="Jul"/>
          <s v="Agu"/>
          <s v="Sep"/>
          <s v="Okt"/>
          <s v="Nov"/>
          <s v="Des"/>
          <s v="&gt;01/07/2026"/>
        </groupItems>
      </fieldGroup>
    </cacheField>
    <cacheField name="% Achievement KPI'" numFmtId="0" formula="'Actual Output (Pairs)'/'Target Output (Pairs)'" databaseField="0"/>
    <cacheField name="Target %" numFmtId="0" formula="'Actual Output (Pairs)'/'Target Output (Pairs)'" databaseField="0"/>
    <cacheField name="Defect Rate %" numFmtId="0" formula="'Defect Qty (Pairs)'/'Actual Output (Pairs)'" databaseField="0"/>
    <cacheField name="%Defect Rate Total " numFmtId="0" formula="'Defect Qty (Pairs)'/'Actual Output (Pairs)'" databaseField="0"/>
    <cacheField name="achievment%" numFmtId="0" formula="'Actual Output (Pairs)'/'Target Output (Pairs)'%" databaseField="0"/>
  </cacheFields>
  <extLst>
    <ext xmlns:x14="http://schemas.microsoft.com/office/spreadsheetml/2009/9/main" uri="{725AE2AE-9491-48be-B2B4-4EB974FC3084}">
      <x14:pivotCacheDefinition pivotCacheId="1365260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n v="46023"/>
    <s v="01"/>
    <x v="0"/>
    <x v="0"/>
    <n v="1000"/>
    <n v="941"/>
    <x v="0"/>
    <n v="16"/>
    <x v="0"/>
    <x v="0"/>
    <x v="0"/>
    <n v="0.94099999999999995"/>
    <n v="1.7003188097768331E-2"/>
  </r>
  <r>
    <x v="1"/>
    <n v="46024"/>
    <s v="02"/>
    <x v="1"/>
    <x v="0"/>
    <n v="1000"/>
    <n v="831"/>
    <x v="1"/>
    <n v="16"/>
    <x v="1"/>
    <x v="1"/>
    <x v="1"/>
    <n v="0.83099999999999996"/>
    <n v="1.9253910950661854E-2"/>
  </r>
  <r>
    <x v="2"/>
    <n v="46025"/>
    <s v="03"/>
    <x v="0"/>
    <x v="0"/>
    <n v="1000"/>
    <n v="967"/>
    <x v="0"/>
    <n v="6"/>
    <x v="0"/>
    <x v="1"/>
    <x v="1"/>
    <n v="0.96699999999999997"/>
    <n v="6.2047569803516025E-3"/>
  </r>
  <r>
    <x v="3"/>
    <n v="46026"/>
    <s v="04"/>
    <x v="1"/>
    <x v="1"/>
    <n v="1200"/>
    <n v="990"/>
    <x v="2"/>
    <n v="40"/>
    <x v="2"/>
    <x v="2"/>
    <x v="1"/>
    <n v="0.82499999999999996"/>
    <n v="4.0404040404040407E-2"/>
  </r>
  <r>
    <x v="4"/>
    <n v="46027"/>
    <s v="05"/>
    <x v="2"/>
    <x v="1"/>
    <n v="1200"/>
    <n v="1082"/>
    <x v="0"/>
    <n v="12"/>
    <x v="0"/>
    <x v="1"/>
    <x v="0"/>
    <n v="0.90166666666666662"/>
    <n v="1.1090573012939002E-2"/>
  </r>
  <r>
    <x v="5"/>
    <n v="46028"/>
    <s v="06"/>
    <x v="0"/>
    <x v="0"/>
    <n v="1200"/>
    <n v="1071"/>
    <x v="3"/>
    <n v="50"/>
    <x v="3"/>
    <x v="2"/>
    <x v="2"/>
    <n v="0.89249999999999996"/>
    <n v="4.6685340802987862E-2"/>
  </r>
  <r>
    <x v="6"/>
    <n v="46029"/>
    <s v="07"/>
    <x v="2"/>
    <x v="2"/>
    <n v="1000"/>
    <n v="867"/>
    <x v="4"/>
    <n v="18"/>
    <x v="4"/>
    <x v="1"/>
    <x v="1"/>
    <n v="0.86699999999999999"/>
    <n v="2.0761245674740483E-2"/>
  </r>
  <r>
    <x v="7"/>
    <n v="46030"/>
    <s v="08"/>
    <x v="1"/>
    <x v="0"/>
    <n v="1200"/>
    <n v="1042"/>
    <x v="0"/>
    <n v="13"/>
    <x v="0"/>
    <x v="0"/>
    <x v="2"/>
    <n v="0.86833333333333329"/>
    <n v="1.2476007677543186E-2"/>
  </r>
  <r>
    <x v="8"/>
    <n v="46031"/>
    <s v="09"/>
    <x v="3"/>
    <x v="1"/>
    <n v="1500"/>
    <n v="1475"/>
    <x v="0"/>
    <n v="42"/>
    <x v="0"/>
    <x v="1"/>
    <x v="0"/>
    <n v="0.98333333333333328"/>
    <n v="2.8474576271186439E-2"/>
  </r>
  <r>
    <x v="9"/>
    <n v="46032"/>
    <s v="10"/>
    <x v="2"/>
    <x v="0"/>
    <n v="1500"/>
    <n v="1387"/>
    <x v="5"/>
    <n v="40"/>
    <x v="5"/>
    <x v="2"/>
    <x v="1"/>
    <n v="0.92466666666666664"/>
    <n v="2.8839221341023791E-2"/>
  </r>
  <r>
    <x v="10"/>
    <n v="46033"/>
    <s v="11"/>
    <x v="0"/>
    <x v="1"/>
    <n v="1200"/>
    <n v="1085"/>
    <x v="5"/>
    <n v="35"/>
    <x v="5"/>
    <x v="3"/>
    <x v="1"/>
    <n v="0.90416666666666667"/>
    <n v="3.2258064516129031E-2"/>
  </r>
  <r>
    <x v="11"/>
    <n v="46034"/>
    <s v="12"/>
    <x v="3"/>
    <x v="2"/>
    <n v="1000"/>
    <n v="946"/>
    <x v="1"/>
    <n v="26"/>
    <x v="1"/>
    <x v="3"/>
    <x v="1"/>
    <n v="0.94599999999999995"/>
    <n v="2.748414376321353E-2"/>
  </r>
  <r>
    <x v="12"/>
    <n v="46035"/>
    <s v="13"/>
    <x v="0"/>
    <x v="0"/>
    <n v="1000"/>
    <n v="1012"/>
    <x v="0"/>
    <n v="5"/>
    <x v="0"/>
    <x v="1"/>
    <x v="2"/>
    <n v="1.012"/>
    <n v="4.940711462450593E-3"/>
  </r>
  <r>
    <x v="13"/>
    <n v="46036"/>
    <s v="14"/>
    <x v="2"/>
    <x v="1"/>
    <n v="1200"/>
    <n v="1111"/>
    <x v="4"/>
    <n v="33"/>
    <x v="4"/>
    <x v="2"/>
    <x v="1"/>
    <n v="0.92583333333333329"/>
    <n v="2.9702970297029702E-2"/>
  </r>
  <r>
    <x v="14"/>
    <n v="46037"/>
    <s v="15"/>
    <x v="0"/>
    <x v="0"/>
    <n v="1200"/>
    <n v="989"/>
    <x v="3"/>
    <n v="14"/>
    <x v="3"/>
    <x v="2"/>
    <x v="1"/>
    <n v="0.82416666666666671"/>
    <n v="1.4155712841253791E-2"/>
  </r>
  <r>
    <x v="15"/>
    <n v="46038"/>
    <s v="16"/>
    <x v="2"/>
    <x v="2"/>
    <n v="1200"/>
    <n v="1212"/>
    <x v="3"/>
    <n v="32"/>
    <x v="3"/>
    <x v="0"/>
    <x v="0"/>
    <n v="1.01"/>
    <n v="2.6402640264026403E-2"/>
  </r>
  <r>
    <x v="16"/>
    <n v="46039"/>
    <s v="17"/>
    <x v="1"/>
    <x v="0"/>
    <n v="1200"/>
    <n v="1116"/>
    <x v="4"/>
    <n v="37"/>
    <x v="4"/>
    <x v="3"/>
    <x v="0"/>
    <n v="0.93"/>
    <n v="3.3154121863799284E-2"/>
  </r>
  <r>
    <x v="17"/>
    <n v="46040"/>
    <s v="18"/>
    <x v="0"/>
    <x v="0"/>
    <n v="1500"/>
    <n v="1347"/>
    <x v="3"/>
    <n v="22"/>
    <x v="3"/>
    <x v="0"/>
    <x v="1"/>
    <n v="0.89800000000000002"/>
    <n v="1.6332590942835932E-2"/>
  </r>
  <r>
    <x v="18"/>
    <n v="46041"/>
    <s v="19"/>
    <x v="2"/>
    <x v="2"/>
    <n v="1200"/>
    <n v="1113"/>
    <x v="2"/>
    <n v="34"/>
    <x v="2"/>
    <x v="2"/>
    <x v="1"/>
    <n v="0.92749999999999999"/>
    <n v="3.0548068283917342E-2"/>
  </r>
  <r>
    <x v="19"/>
    <n v="46042"/>
    <s v="20"/>
    <x v="2"/>
    <x v="2"/>
    <n v="1000"/>
    <n v="994"/>
    <x v="4"/>
    <n v="40"/>
    <x v="4"/>
    <x v="0"/>
    <x v="1"/>
    <n v="0.99399999999999999"/>
    <n v="4.0241448692152917E-2"/>
  </r>
  <r>
    <x v="20"/>
    <n v="46043"/>
    <s v="21"/>
    <x v="2"/>
    <x v="0"/>
    <n v="1000"/>
    <n v="943"/>
    <x v="1"/>
    <n v="21"/>
    <x v="1"/>
    <x v="2"/>
    <x v="1"/>
    <n v="0.94299999999999995"/>
    <n v="2.2269353128313893E-2"/>
  </r>
  <r>
    <x v="21"/>
    <n v="46044"/>
    <s v="22"/>
    <x v="1"/>
    <x v="2"/>
    <n v="1500"/>
    <n v="1240"/>
    <x v="3"/>
    <n v="53"/>
    <x v="3"/>
    <x v="3"/>
    <x v="1"/>
    <n v="0.82666666666666666"/>
    <n v="4.2741935483870966E-2"/>
  </r>
  <r>
    <x v="22"/>
    <n v="46045"/>
    <s v="23"/>
    <x v="2"/>
    <x v="1"/>
    <n v="1500"/>
    <n v="1436"/>
    <x v="3"/>
    <n v="22"/>
    <x v="3"/>
    <x v="3"/>
    <x v="1"/>
    <n v="0.95733333333333337"/>
    <n v="1.532033426183844E-2"/>
  </r>
  <r>
    <x v="23"/>
    <n v="46046"/>
    <s v="24"/>
    <x v="3"/>
    <x v="0"/>
    <n v="1500"/>
    <n v="1353"/>
    <x v="4"/>
    <n v="18"/>
    <x v="4"/>
    <x v="2"/>
    <x v="1"/>
    <n v="0.90200000000000002"/>
    <n v="1.3303769401330377E-2"/>
  </r>
  <r>
    <x v="24"/>
    <n v="46047"/>
    <s v="25"/>
    <x v="1"/>
    <x v="0"/>
    <n v="1500"/>
    <n v="1279"/>
    <x v="3"/>
    <n v="23"/>
    <x v="3"/>
    <x v="3"/>
    <x v="2"/>
    <n v="0.85266666666666668"/>
    <n v="1.7982799061767005E-2"/>
  </r>
  <r>
    <x v="25"/>
    <n v="46048"/>
    <s v="26"/>
    <x v="3"/>
    <x v="0"/>
    <n v="1500"/>
    <n v="1415"/>
    <x v="0"/>
    <n v="7"/>
    <x v="0"/>
    <x v="0"/>
    <x v="1"/>
    <n v="0.94333333333333336"/>
    <n v="4.9469964664310955E-3"/>
  </r>
  <r>
    <x v="26"/>
    <n v="46049"/>
    <s v="27"/>
    <x v="0"/>
    <x v="2"/>
    <n v="1000"/>
    <n v="865"/>
    <x v="5"/>
    <n v="7"/>
    <x v="5"/>
    <x v="1"/>
    <x v="1"/>
    <n v="0.86499999999999999"/>
    <n v="8.0924855491329474E-3"/>
  </r>
  <r>
    <x v="27"/>
    <n v="46050"/>
    <s v="28"/>
    <x v="2"/>
    <x v="2"/>
    <n v="1000"/>
    <n v="926"/>
    <x v="3"/>
    <n v="40"/>
    <x v="3"/>
    <x v="0"/>
    <x v="1"/>
    <n v="0.92600000000000005"/>
    <n v="4.3196544276457881E-2"/>
  </r>
  <r>
    <x v="28"/>
    <n v="46051"/>
    <s v="29"/>
    <x v="2"/>
    <x v="2"/>
    <n v="1500"/>
    <n v="1396"/>
    <x v="0"/>
    <n v="11"/>
    <x v="0"/>
    <x v="3"/>
    <x v="1"/>
    <n v="0.93066666666666664"/>
    <n v="7.8796561604584526E-3"/>
  </r>
  <r>
    <x v="29"/>
    <n v="46052"/>
    <s v="30"/>
    <x v="1"/>
    <x v="2"/>
    <n v="1200"/>
    <n v="1132"/>
    <x v="0"/>
    <n v="15"/>
    <x v="0"/>
    <x v="1"/>
    <x v="1"/>
    <n v="0.94333333333333336"/>
    <n v="1.3250883392226149E-2"/>
  </r>
  <r>
    <x v="30"/>
    <n v="46053"/>
    <s v="31"/>
    <x v="1"/>
    <x v="0"/>
    <n v="1000"/>
    <n v="936"/>
    <x v="0"/>
    <n v="30"/>
    <x v="0"/>
    <x v="2"/>
    <x v="1"/>
    <n v="0.93600000000000005"/>
    <n v="3.2051282051282048E-2"/>
  </r>
  <r>
    <x v="31"/>
    <n v="46054"/>
    <s v="01"/>
    <x v="3"/>
    <x v="0"/>
    <n v="1000"/>
    <n v="943"/>
    <x v="0"/>
    <n v="31"/>
    <x v="0"/>
    <x v="0"/>
    <x v="0"/>
    <n v="0.94299999999999995"/>
    <n v="3.2873806998939555E-2"/>
  </r>
  <r>
    <x v="32"/>
    <n v="46055"/>
    <s v="02"/>
    <x v="0"/>
    <x v="1"/>
    <n v="1000"/>
    <n v="942"/>
    <x v="0"/>
    <n v="41"/>
    <x v="0"/>
    <x v="3"/>
    <x v="1"/>
    <n v="0.94199999999999995"/>
    <n v="4.3524416135881101E-2"/>
  </r>
  <r>
    <x v="33"/>
    <n v="46056"/>
    <s v="03"/>
    <x v="3"/>
    <x v="0"/>
    <n v="1000"/>
    <n v="935"/>
    <x v="0"/>
    <n v="37"/>
    <x v="0"/>
    <x v="2"/>
    <x v="1"/>
    <n v="0.93500000000000005"/>
    <n v="3.9572192513368985E-2"/>
  </r>
  <r>
    <x v="34"/>
    <n v="46057"/>
    <s v="04"/>
    <x v="0"/>
    <x v="0"/>
    <n v="1200"/>
    <n v="1197"/>
    <x v="0"/>
    <n v="32"/>
    <x v="0"/>
    <x v="3"/>
    <x v="1"/>
    <n v="0.99750000000000005"/>
    <n v="2.6733500417710943E-2"/>
  </r>
  <r>
    <x v="35"/>
    <n v="46058"/>
    <s v="05"/>
    <x v="0"/>
    <x v="1"/>
    <n v="1200"/>
    <n v="1211"/>
    <x v="1"/>
    <n v="13"/>
    <x v="1"/>
    <x v="3"/>
    <x v="1"/>
    <n v="1.0091666666666668"/>
    <n v="1.0734929810074319E-2"/>
  </r>
  <r>
    <x v="36"/>
    <n v="46059"/>
    <s v="06"/>
    <x v="0"/>
    <x v="0"/>
    <n v="1200"/>
    <n v="985"/>
    <x v="4"/>
    <n v="40"/>
    <x v="4"/>
    <x v="1"/>
    <x v="1"/>
    <n v="0.8208333333333333"/>
    <n v="4.060913705583756E-2"/>
  </r>
  <r>
    <x v="37"/>
    <n v="46060"/>
    <s v="07"/>
    <x v="2"/>
    <x v="0"/>
    <n v="1200"/>
    <n v="1110"/>
    <x v="4"/>
    <n v="27"/>
    <x v="4"/>
    <x v="0"/>
    <x v="1"/>
    <n v="0.92500000000000004"/>
    <n v="2.4324324324324326E-2"/>
  </r>
  <r>
    <x v="38"/>
    <n v="46061"/>
    <s v="08"/>
    <x v="0"/>
    <x v="1"/>
    <n v="1500"/>
    <n v="1304"/>
    <x v="0"/>
    <n v="53"/>
    <x v="0"/>
    <x v="3"/>
    <x v="1"/>
    <n v="0.86933333333333329"/>
    <n v="4.0644171779141106E-2"/>
  </r>
  <r>
    <x v="39"/>
    <n v="46062"/>
    <s v="09"/>
    <x v="2"/>
    <x v="2"/>
    <n v="1500"/>
    <n v="1342"/>
    <x v="0"/>
    <n v="14"/>
    <x v="0"/>
    <x v="0"/>
    <x v="1"/>
    <n v="0.89466666666666672"/>
    <n v="1.0432190760059613E-2"/>
  </r>
  <r>
    <x v="40"/>
    <n v="46063"/>
    <s v="10"/>
    <x v="2"/>
    <x v="0"/>
    <n v="1200"/>
    <n v="1131"/>
    <x v="1"/>
    <n v="44"/>
    <x v="1"/>
    <x v="3"/>
    <x v="1"/>
    <n v="0.9425"/>
    <n v="3.8903625110521665E-2"/>
  </r>
  <r>
    <x v="41"/>
    <n v="46064"/>
    <s v="11"/>
    <x v="1"/>
    <x v="0"/>
    <n v="1500"/>
    <n v="1285"/>
    <x v="0"/>
    <n v="44"/>
    <x v="0"/>
    <x v="3"/>
    <x v="1"/>
    <n v="0.85666666666666669"/>
    <n v="3.4241245136186774E-2"/>
  </r>
  <r>
    <x v="42"/>
    <n v="46065"/>
    <s v="12"/>
    <x v="1"/>
    <x v="0"/>
    <n v="1500"/>
    <n v="1371"/>
    <x v="0"/>
    <n v="29"/>
    <x v="0"/>
    <x v="0"/>
    <x v="1"/>
    <n v="0.91400000000000003"/>
    <n v="2.1152443471918306E-2"/>
  </r>
  <r>
    <x v="43"/>
    <n v="46066"/>
    <s v="13"/>
    <x v="3"/>
    <x v="2"/>
    <n v="1500"/>
    <n v="1437"/>
    <x v="4"/>
    <n v="30"/>
    <x v="4"/>
    <x v="1"/>
    <x v="1"/>
    <n v="0.95799999999999996"/>
    <n v="2.0876826722338204E-2"/>
  </r>
  <r>
    <x v="44"/>
    <n v="46067"/>
    <s v="14"/>
    <x v="2"/>
    <x v="0"/>
    <n v="1000"/>
    <n v="942"/>
    <x v="4"/>
    <n v="11"/>
    <x v="4"/>
    <x v="0"/>
    <x v="1"/>
    <n v="0.94199999999999995"/>
    <n v="1.167728237791932E-2"/>
  </r>
  <r>
    <x v="45"/>
    <n v="46068"/>
    <s v="15"/>
    <x v="1"/>
    <x v="2"/>
    <n v="1500"/>
    <n v="1365"/>
    <x v="4"/>
    <n v="33"/>
    <x v="4"/>
    <x v="0"/>
    <x v="1"/>
    <n v="0.91"/>
    <n v="2.4175824175824177E-2"/>
  </r>
  <r>
    <x v="46"/>
    <n v="46069"/>
    <s v="16"/>
    <x v="2"/>
    <x v="0"/>
    <n v="1500"/>
    <n v="1439"/>
    <x v="5"/>
    <n v="14"/>
    <x v="5"/>
    <x v="2"/>
    <x v="0"/>
    <n v="0.95933333333333337"/>
    <n v="9.7289784572619879E-3"/>
  </r>
  <r>
    <x v="47"/>
    <n v="46070"/>
    <s v="17"/>
    <x v="1"/>
    <x v="1"/>
    <n v="1200"/>
    <n v="1054"/>
    <x v="5"/>
    <n v="7"/>
    <x v="5"/>
    <x v="3"/>
    <x v="1"/>
    <n v="0.8783333333333333"/>
    <n v="6.6413662239089184E-3"/>
  </r>
  <r>
    <x v="48"/>
    <n v="46071"/>
    <s v="18"/>
    <x v="3"/>
    <x v="0"/>
    <n v="1500"/>
    <n v="1423"/>
    <x v="0"/>
    <n v="27"/>
    <x v="0"/>
    <x v="1"/>
    <x v="1"/>
    <n v="0.94866666666666666"/>
    <n v="1.8973998594518624E-2"/>
  </r>
  <r>
    <x v="49"/>
    <n v="46072"/>
    <s v="19"/>
    <x v="0"/>
    <x v="2"/>
    <n v="1200"/>
    <n v="1022"/>
    <x v="4"/>
    <n v="52"/>
    <x v="4"/>
    <x v="0"/>
    <x v="1"/>
    <n v="0.85166666666666668"/>
    <n v="5.0880626223091974E-2"/>
  </r>
  <r>
    <x v="50"/>
    <n v="46073"/>
    <s v="20"/>
    <x v="3"/>
    <x v="1"/>
    <n v="1200"/>
    <n v="1039"/>
    <x v="4"/>
    <n v="9"/>
    <x v="4"/>
    <x v="0"/>
    <x v="2"/>
    <n v="0.86583333333333334"/>
    <n v="8.6621751684311833E-3"/>
  </r>
  <r>
    <x v="51"/>
    <n v="46074"/>
    <s v="21"/>
    <x v="3"/>
    <x v="1"/>
    <n v="1500"/>
    <n v="1475"/>
    <x v="0"/>
    <n v="27"/>
    <x v="0"/>
    <x v="3"/>
    <x v="1"/>
    <n v="0.98333333333333328"/>
    <n v="1.8305084745762711E-2"/>
  </r>
  <r>
    <x v="52"/>
    <n v="46075"/>
    <s v="22"/>
    <x v="3"/>
    <x v="1"/>
    <n v="1000"/>
    <n v="851"/>
    <x v="4"/>
    <n v="22"/>
    <x v="4"/>
    <x v="1"/>
    <x v="1"/>
    <n v="0.85099999999999998"/>
    <n v="2.5851938895417155E-2"/>
  </r>
  <r>
    <x v="53"/>
    <n v="46076"/>
    <s v="23"/>
    <x v="1"/>
    <x v="1"/>
    <n v="1200"/>
    <n v="1134"/>
    <x v="0"/>
    <n v="5"/>
    <x v="0"/>
    <x v="2"/>
    <x v="1"/>
    <n v="0.94499999999999995"/>
    <n v="4.4091710758377423E-3"/>
  </r>
  <r>
    <x v="54"/>
    <n v="46077"/>
    <s v="24"/>
    <x v="1"/>
    <x v="1"/>
    <n v="1500"/>
    <n v="1431"/>
    <x v="0"/>
    <n v="7"/>
    <x v="0"/>
    <x v="1"/>
    <x v="1"/>
    <n v="0.95399999999999996"/>
    <n v="4.8916841369671558E-3"/>
  </r>
  <r>
    <x v="55"/>
    <n v="46078"/>
    <s v="25"/>
    <x v="3"/>
    <x v="1"/>
    <n v="1500"/>
    <n v="1285"/>
    <x v="0"/>
    <n v="46"/>
    <x v="0"/>
    <x v="1"/>
    <x v="1"/>
    <n v="0.85666666666666669"/>
    <n v="3.5797665369649803E-2"/>
  </r>
  <r>
    <x v="56"/>
    <n v="46079"/>
    <s v="26"/>
    <x v="1"/>
    <x v="0"/>
    <n v="1200"/>
    <n v="1155"/>
    <x v="0"/>
    <n v="8"/>
    <x v="0"/>
    <x v="3"/>
    <x v="1"/>
    <n v="0.96250000000000002"/>
    <n v="6.9264069264069264E-3"/>
  </r>
  <r>
    <x v="57"/>
    <n v="46080"/>
    <s v="27"/>
    <x v="1"/>
    <x v="0"/>
    <n v="1200"/>
    <n v="1124"/>
    <x v="4"/>
    <n v="18"/>
    <x v="4"/>
    <x v="3"/>
    <x v="0"/>
    <n v="0.93666666666666665"/>
    <n v="1.601423487544484E-2"/>
  </r>
  <r>
    <x v="58"/>
    <n v="46081"/>
    <s v="28"/>
    <x v="1"/>
    <x v="2"/>
    <n v="1500"/>
    <n v="1455"/>
    <x v="5"/>
    <n v="34"/>
    <x v="5"/>
    <x v="0"/>
    <x v="1"/>
    <n v="0.97"/>
    <n v="2.3367697594501718E-2"/>
  </r>
  <r>
    <x v="59"/>
    <n v="46082"/>
    <s v="01"/>
    <x v="1"/>
    <x v="0"/>
    <n v="1000"/>
    <n v="948"/>
    <x v="4"/>
    <n v="41"/>
    <x v="4"/>
    <x v="0"/>
    <x v="1"/>
    <n v="0.94799999999999995"/>
    <n v="4.3248945147679324E-2"/>
  </r>
  <r>
    <x v="60"/>
    <n v="46083"/>
    <s v="02"/>
    <x v="1"/>
    <x v="1"/>
    <n v="1500"/>
    <n v="1331"/>
    <x v="0"/>
    <n v="26"/>
    <x v="0"/>
    <x v="1"/>
    <x v="0"/>
    <n v="0.88733333333333331"/>
    <n v="1.9534184823441023E-2"/>
  </r>
  <r>
    <x v="61"/>
    <n v="46084"/>
    <s v="03"/>
    <x v="2"/>
    <x v="1"/>
    <n v="1200"/>
    <n v="1009"/>
    <x v="3"/>
    <n v="23"/>
    <x v="3"/>
    <x v="0"/>
    <x v="0"/>
    <n v="0.84083333333333332"/>
    <n v="2.2794846382556987E-2"/>
  </r>
  <r>
    <x v="62"/>
    <n v="46085"/>
    <s v="04"/>
    <x v="0"/>
    <x v="1"/>
    <n v="1000"/>
    <n v="846"/>
    <x v="5"/>
    <n v="44"/>
    <x v="5"/>
    <x v="1"/>
    <x v="1"/>
    <n v="0.84599999999999997"/>
    <n v="5.2009456264775412E-2"/>
  </r>
  <r>
    <x v="63"/>
    <n v="46086"/>
    <s v="05"/>
    <x v="0"/>
    <x v="0"/>
    <n v="1000"/>
    <n v="1001"/>
    <x v="2"/>
    <n v="44"/>
    <x v="2"/>
    <x v="3"/>
    <x v="1"/>
    <n v="1.0009999999999999"/>
    <n v="4.3956043956043959E-2"/>
  </r>
  <r>
    <x v="64"/>
    <n v="46087"/>
    <s v="06"/>
    <x v="0"/>
    <x v="2"/>
    <n v="1500"/>
    <n v="1296"/>
    <x v="4"/>
    <n v="52"/>
    <x v="4"/>
    <x v="2"/>
    <x v="0"/>
    <n v="0.86399999999999999"/>
    <n v="4.0123456790123455E-2"/>
  </r>
  <r>
    <x v="65"/>
    <n v="46088"/>
    <s v="07"/>
    <x v="0"/>
    <x v="2"/>
    <n v="1200"/>
    <n v="1113"/>
    <x v="2"/>
    <n v="29"/>
    <x v="2"/>
    <x v="2"/>
    <x v="1"/>
    <n v="0.92749999999999999"/>
    <n v="2.605570530098832E-2"/>
  </r>
  <r>
    <x v="66"/>
    <n v="46089"/>
    <s v="08"/>
    <x v="0"/>
    <x v="1"/>
    <n v="1000"/>
    <n v="834"/>
    <x v="1"/>
    <n v="36"/>
    <x v="1"/>
    <x v="0"/>
    <x v="1"/>
    <n v="0.83399999999999996"/>
    <n v="4.3165467625899283E-2"/>
  </r>
  <r>
    <x v="67"/>
    <n v="46090"/>
    <s v="09"/>
    <x v="1"/>
    <x v="1"/>
    <n v="1000"/>
    <n v="944"/>
    <x v="0"/>
    <n v="27"/>
    <x v="0"/>
    <x v="3"/>
    <x v="1"/>
    <n v="0.94399999999999995"/>
    <n v="2.8601694915254237E-2"/>
  </r>
  <r>
    <x v="68"/>
    <n v="46091"/>
    <s v="10"/>
    <x v="0"/>
    <x v="0"/>
    <n v="1500"/>
    <n v="1287"/>
    <x v="4"/>
    <n v="7"/>
    <x v="4"/>
    <x v="3"/>
    <x v="1"/>
    <n v="0.85799999999999998"/>
    <n v="5.439005439005439E-3"/>
  </r>
  <r>
    <x v="69"/>
    <n v="46092"/>
    <s v="11"/>
    <x v="3"/>
    <x v="0"/>
    <n v="1200"/>
    <n v="1206"/>
    <x v="5"/>
    <n v="19"/>
    <x v="5"/>
    <x v="2"/>
    <x v="1"/>
    <n v="1.0049999999999999"/>
    <n v="1.5754560530679935E-2"/>
  </r>
  <r>
    <x v="70"/>
    <n v="46093"/>
    <s v="12"/>
    <x v="1"/>
    <x v="0"/>
    <n v="1200"/>
    <n v="1113"/>
    <x v="3"/>
    <n v="32"/>
    <x v="3"/>
    <x v="0"/>
    <x v="1"/>
    <n v="0.92749999999999999"/>
    <n v="2.8751123090745734E-2"/>
  </r>
  <r>
    <x v="71"/>
    <n v="46094"/>
    <s v="13"/>
    <x v="1"/>
    <x v="2"/>
    <n v="1000"/>
    <n v="863"/>
    <x v="2"/>
    <n v="11"/>
    <x v="2"/>
    <x v="0"/>
    <x v="1"/>
    <n v="0.86299999999999999"/>
    <n v="1.2746234067207415E-2"/>
  </r>
  <r>
    <x v="72"/>
    <n v="46095"/>
    <s v="14"/>
    <x v="2"/>
    <x v="2"/>
    <n v="1200"/>
    <n v="1033"/>
    <x v="0"/>
    <n v="28"/>
    <x v="0"/>
    <x v="1"/>
    <x v="1"/>
    <n v="0.86083333333333334"/>
    <n v="2.7105517909002903E-2"/>
  </r>
  <r>
    <x v="73"/>
    <n v="46096"/>
    <s v="15"/>
    <x v="2"/>
    <x v="0"/>
    <n v="1200"/>
    <n v="1122"/>
    <x v="0"/>
    <n v="40"/>
    <x v="0"/>
    <x v="2"/>
    <x v="1"/>
    <n v="0.93500000000000005"/>
    <n v="3.5650623885918005E-2"/>
  </r>
  <r>
    <x v="74"/>
    <n v="46097"/>
    <s v="16"/>
    <x v="1"/>
    <x v="2"/>
    <n v="1200"/>
    <n v="1005"/>
    <x v="4"/>
    <n v="26"/>
    <x v="4"/>
    <x v="2"/>
    <x v="1"/>
    <n v="0.83750000000000002"/>
    <n v="2.5870646766169153E-2"/>
  </r>
  <r>
    <x v="75"/>
    <n v="46098"/>
    <s v="17"/>
    <x v="1"/>
    <x v="0"/>
    <n v="1500"/>
    <n v="1449"/>
    <x v="3"/>
    <n v="27"/>
    <x v="3"/>
    <x v="0"/>
    <x v="1"/>
    <n v="0.96599999999999997"/>
    <n v="1.8633540372670808E-2"/>
  </r>
  <r>
    <x v="76"/>
    <n v="46099"/>
    <s v="18"/>
    <x v="2"/>
    <x v="0"/>
    <n v="1200"/>
    <n v="1132"/>
    <x v="0"/>
    <n v="28"/>
    <x v="0"/>
    <x v="3"/>
    <x v="0"/>
    <n v="0.94333333333333336"/>
    <n v="2.4734982332155476E-2"/>
  </r>
  <r>
    <x v="77"/>
    <n v="46100"/>
    <s v="19"/>
    <x v="1"/>
    <x v="1"/>
    <n v="1000"/>
    <n v="961"/>
    <x v="4"/>
    <n v="10"/>
    <x v="4"/>
    <x v="0"/>
    <x v="1"/>
    <n v="0.96099999999999997"/>
    <n v="1.040582726326743E-2"/>
  </r>
  <r>
    <x v="78"/>
    <n v="46101"/>
    <s v="20"/>
    <x v="1"/>
    <x v="0"/>
    <n v="1200"/>
    <n v="1108"/>
    <x v="0"/>
    <n v="33"/>
    <x v="0"/>
    <x v="1"/>
    <x v="0"/>
    <n v="0.92333333333333334"/>
    <n v="2.9783393501805054E-2"/>
  </r>
  <r>
    <x v="79"/>
    <n v="46102"/>
    <s v="21"/>
    <x v="0"/>
    <x v="2"/>
    <n v="1500"/>
    <n v="1366"/>
    <x v="0"/>
    <n v="27"/>
    <x v="0"/>
    <x v="2"/>
    <x v="1"/>
    <n v="0.91066666666666662"/>
    <n v="1.9765739385065886E-2"/>
  </r>
  <r>
    <x v="80"/>
    <n v="46103"/>
    <s v="22"/>
    <x v="3"/>
    <x v="1"/>
    <n v="1000"/>
    <n v="909"/>
    <x v="2"/>
    <n v="16"/>
    <x v="2"/>
    <x v="1"/>
    <x v="1"/>
    <n v="0.90900000000000003"/>
    <n v="1.7601760176017601E-2"/>
  </r>
  <r>
    <x v="81"/>
    <n v="46104"/>
    <s v="23"/>
    <x v="0"/>
    <x v="0"/>
    <n v="1000"/>
    <n v="1005"/>
    <x v="0"/>
    <n v="41"/>
    <x v="0"/>
    <x v="0"/>
    <x v="1"/>
    <n v="1.0049999999999999"/>
    <n v="4.0796019900497513E-2"/>
  </r>
  <r>
    <x v="82"/>
    <n v="46105"/>
    <s v="24"/>
    <x v="3"/>
    <x v="1"/>
    <n v="1500"/>
    <n v="1468"/>
    <x v="0"/>
    <n v="32"/>
    <x v="0"/>
    <x v="1"/>
    <x v="1"/>
    <n v="0.97866666666666668"/>
    <n v="2.1798365122615803E-2"/>
  </r>
  <r>
    <x v="83"/>
    <n v="46106"/>
    <s v="25"/>
    <x v="1"/>
    <x v="1"/>
    <n v="1000"/>
    <n v="949"/>
    <x v="2"/>
    <n v="14"/>
    <x v="2"/>
    <x v="1"/>
    <x v="1"/>
    <n v="0.94899999999999995"/>
    <n v="1.4752370916754479E-2"/>
  </r>
  <r>
    <x v="84"/>
    <n v="46107"/>
    <s v="26"/>
    <x v="0"/>
    <x v="0"/>
    <n v="1000"/>
    <n v="869"/>
    <x v="0"/>
    <n v="42"/>
    <x v="0"/>
    <x v="2"/>
    <x v="2"/>
    <n v="0.86899999999999999"/>
    <n v="4.8331415420023012E-2"/>
  </r>
  <r>
    <x v="85"/>
    <n v="46108"/>
    <s v="27"/>
    <x v="0"/>
    <x v="0"/>
    <n v="1000"/>
    <n v="820"/>
    <x v="0"/>
    <n v="37"/>
    <x v="0"/>
    <x v="3"/>
    <x v="2"/>
    <n v="0.82"/>
    <n v="4.5121951219512194E-2"/>
  </r>
  <r>
    <x v="86"/>
    <n v="46109"/>
    <s v="28"/>
    <x v="1"/>
    <x v="1"/>
    <n v="1500"/>
    <n v="1265"/>
    <x v="1"/>
    <n v="14"/>
    <x v="1"/>
    <x v="1"/>
    <x v="1"/>
    <n v="0.84333333333333338"/>
    <n v="1.1067193675889328E-2"/>
  </r>
  <r>
    <x v="87"/>
    <n v="46110"/>
    <s v="29"/>
    <x v="1"/>
    <x v="2"/>
    <n v="1200"/>
    <n v="1194"/>
    <x v="0"/>
    <n v="27"/>
    <x v="0"/>
    <x v="1"/>
    <x v="0"/>
    <n v="0.995"/>
    <n v="2.2613065326633167E-2"/>
  </r>
  <r>
    <x v="88"/>
    <n v="46111"/>
    <s v="30"/>
    <x v="1"/>
    <x v="2"/>
    <n v="1500"/>
    <n v="1510"/>
    <x v="5"/>
    <n v="44"/>
    <x v="5"/>
    <x v="2"/>
    <x v="1"/>
    <n v="1.0066666666666666"/>
    <n v="2.9139072847682121E-2"/>
  </r>
  <r>
    <x v="89"/>
    <n v="46112"/>
    <s v="31"/>
    <x v="3"/>
    <x v="1"/>
    <n v="1200"/>
    <n v="1007"/>
    <x v="2"/>
    <n v="33"/>
    <x v="2"/>
    <x v="1"/>
    <x v="1"/>
    <n v="0.83916666666666662"/>
    <n v="3.2770605759682221E-2"/>
  </r>
  <r>
    <x v="90"/>
    <n v="46113"/>
    <s v="01"/>
    <x v="1"/>
    <x v="0"/>
    <n v="1200"/>
    <n v="1085"/>
    <x v="3"/>
    <n v="16"/>
    <x v="3"/>
    <x v="0"/>
    <x v="1"/>
    <n v="0.90416666666666667"/>
    <n v="1.4746543778801843E-2"/>
  </r>
  <r>
    <x v="91"/>
    <n v="46114"/>
    <s v="02"/>
    <x v="0"/>
    <x v="1"/>
    <n v="1500"/>
    <n v="1254"/>
    <x v="0"/>
    <n v="42"/>
    <x v="0"/>
    <x v="3"/>
    <x v="1"/>
    <n v="0.83599999999999997"/>
    <n v="3.3492822966507178E-2"/>
  </r>
  <r>
    <x v="92"/>
    <n v="46115"/>
    <s v="03"/>
    <x v="1"/>
    <x v="2"/>
    <n v="1000"/>
    <n v="828"/>
    <x v="3"/>
    <n v="32"/>
    <x v="3"/>
    <x v="1"/>
    <x v="2"/>
    <n v="0.82799999999999996"/>
    <n v="3.864734299516908E-2"/>
  </r>
  <r>
    <x v="93"/>
    <n v="46116"/>
    <s v="04"/>
    <x v="2"/>
    <x v="0"/>
    <n v="1000"/>
    <n v="840"/>
    <x v="1"/>
    <n v="46"/>
    <x v="1"/>
    <x v="2"/>
    <x v="1"/>
    <n v="0.84"/>
    <n v="5.4761904761904762E-2"/>
  </r>
  <r>
    <x v="94"/>
    <n v="46117"/>
    <s v="05"/>
    <x v="1"/>
    <x v="1"/>
    <n v="1500"/>
    <n v="1460"/>
    <x v="4"/>
    <n v="32"/>
    <x v="4"/>
    <x v="3"/>
    <x v="2"/>
    <n v="0.97333333333333338"/>
    <n v="2.1917808219178082E-2"/>
  </r>
  <r>
    <x v="95"/>
    <n v="46118"/>
    <s v="06"/>
    <x v="2"/>
    <x v="0"/>
    <n v="1500"/>
    <n v="1457"/>
    <x v="2"/>
    <n v="28"/>
    <x v="2"/>
    <x v="1"/>
    <x v="0"/>
    <n v="0.97133333333333338"/>
    <n v="1.9217570350034317E-2"/>
  </r>
  <r>
    <x v="96"/>
    <n v="46119"/>
    <s v="07"/>
    <x v="2"/>
    <x v="0"/>
    <n v="1000"/>
    <n v="869"/>
    <x v="3"/>
    <n v="53"/>
    <x v="3"/>
    <x v="2"/>
    <x v="1"/>
    <n v="0.86899999999999999"/>
    <n v="6.0989643268124283E-2"/>
  </r>
  <r>
    <x v="97"/>
    <n v="46120"/>
    <s v="08"/>
    <x v="2"/>
    <x v="1"/>
    <n v="1000"/>
    <n v="957"/>
    <x v="4"/>
    <n v="5"/>
    <x v="4"/>
    <x v="1"/>
    <x v="1"/>
    <n v="0.95699999999999996"/>
    <n v="5.2246603970741903E-3"/>
  </r>
  <r>
    <x v="98"/>
    <n v="46121"/>
    <s v="09"/>
    <x v="0"/>
    <x v="2"/>
    <n v="1000"/>
    <n v="1018"/>
    <x v="5"/>
    <n v="17"/>
    <x v="5"/>
    <x v="1"/>
    <x v="0"/>
    <n v="1.018"/>
    <n v="1.6699410609037329E-2"/>
  </r>
  <r>
    <x v="99"/>
    <n v="46122"/>
    <s v="10"/>
    <x v="0"/>
    <x v="1"/>
    <n v="1200"/>
    <n v="1140"/>
    <x v="0"/>
    <n v="31"/>
    <x v="0"/>
    <x v="2"/>
    <x v="1"/>
    <n v="0.95"/>
    <n v="2.7192982456140352E-2"/>
  </r>
  <r>
    <x v="100"/>
    <n v="46123"/>
    <s v="11"/>
    <x v="2"/>
    <x v="1"/>
    <n v="1000"/>
    <n v="962"/>
    <x v="5"/>
    <n v="9"/>
    <x v="5"/>
    <x v="3"/>
    <x v="1"/>
    <n v="0.96199999999999997"/>
    <n v="9.355509355509356E-3"/>
  </r>
  <r>
    <x v="101"/>
    <n v="46124"/>
    <s v="12"/>
    <x v="1"/>
    <x v="0"/>
    <n v="1500"/>
    <n v="1399"/>
    <x v="0"/>
    <n v="33"/>
    <x v="0"/>
    <x v="0"/>
    <x v="1"/>
    <n v="0.93266666666666664"/>
    <n v="2.3588277340957826E-2"/>
  </r>
  <r>
    <x v="102"/>
    <n v="46125"/>
    <s v="13"/>
    <x v="3"/>
    <x v="0"/>
    <n v="1200"/>
    <n v="1025"/>
    <x v="0"/>
    <n v="13"/>
    <x v="0"/>
    <x v="0"/>
    <x v="1"/>
    <n v="0.85416666666666663"/>
    <n v="1.2682926829268294E-2"/>
  </r>
  <r>
    <x v="103"/>
    <n v="46126"/>
    <s v="14"/>
    <x v="0"/>
    <x v="2"/>
    <n v="1200"/>
    <n v="1208"/>
    <x v="2"/>
    <n v="15"/>
    <x v="2"/>
    <x v="1"/>
    <x v="1"/>
    <n v="1.0066666666666666"/>
    <n v="1.2417218543046357E-2"/>
  </r>
  <r>
    <x v="104"/>
    <n v="46127"/>
    <s v="15"/>
    <x v="2"/>
    <x v="2"/>
    <n v="1000"/>
    <n v="828"/>
    <x v="3"/>
    <n v="16"/>
    <x v="3"/>
    <x v="1"/>
    <x v="1"/>
    <n v="0.82799999999999996"/>
    <n v="1.932367149758454E-2"/>
  </r>
  <r>
    <x v="105"/>
    <n v="46128"/>
    <s v="16"/>
    <x v="2"/>
    <x v="2"/>
    <n v="1500"/>
    <n v="1446"/>
    <x v="3"/>
    <n v="28"/>
    <x v="3"/>
    <x v="3"/>
    <x v="1"/>
    <n v="0.96399999999999997"/>
    <n v="1.9363762102351315E-2"/>
  </r>
  <r>
    <x v="106"/>
    <n v="46129"/>
    <s v="17"/>
    <x v="2"/>
    <x v="1"/>
    <n v="1500"/>
    <n v="1302"/>
    <x v="3"/>
    <n v="11"/>
    <x v="3"/>
    <x v="2"/>
    <x v="2"/>
    <n v="0.86799999999999999"/>
    <n v="8.4485407066052232E-3"/>
  </r>
  <r>
    <x v="107"/>
    <n v="46130"/>
    <s v="18"/>
    <x v="3"/>
    <x v="2"/>
    <n v="1200"/>
    <n v="1062"/>
    <x v="2"/>
    <n v="13"/>
    <x v="2"/>
    <x v="3"/>
    <x v="0"/>
    <n v="0.88500000000000001"/>
    <n v="1.2241054613935969E-2"/>
  </r>
  <r>
    <x v="108"/>
    <n v="46131"/>
    <s v="19"/>
    <x v="2"/>
    <x v="2"/>
    <n v="1200"/>
    <n v="1189"/>
    <x v="5"/>
    <n v="16"/>
    <x v="5"/>
    <x v="2"/>
    <x v="1"/>
    <n v="0.99083333333333334"/>
    <n v="1.345668629100084E-2"/>
  </r>
  <r>
    <x v="109"/>
    <n v="46132"/>
    <s v="20"/>
    <x v="2"/>
    <x v="0"/>
    <n v="1500"/>
    <n v="1268"/>
    <x v="0"/>
    <n v="11"/>
    <x v="0"/>
    <x v="1"/>
    <x v="1"/>
    <n v="0.84533333333333338"/>
    <n v="8.6750788643533121E-3"/>
  </r>
  <r>
    <x v="110"/>
    <n v="46133"/>
    <s v="21"/>
    <x v="2"/>
    <x v="1"/>
    <n v="1200"/>
    <n v="1195"/>
    <x v="2"/>
    <n v="10"/>
    <x v="2"/>
    <x v="2"/>
    <x v="0"/>
    <n v="0.99583333333333335"/>
    <n v="8.368200836820083E-3"/>
  </r>
  <r>
    <x v="111"/>
    <n v="46134"/>
    <s v="22"/>
    <x v="2"/>
    <x v="2"/>
    <n v="1000"/>
    <n v="955"/>
    <x v="4"/>
    <n v="41"/>
    <x v="4"/>
    <x v="0"/>
    <x v="1"/>
    <n v="0.95499999999999996"/>
    <n v="4.2931937172774867E-2"/>
  </r>
  <r>
    <x v="112"/>
    <n v="46135"/>
    <s v="23"/>
    <x v="2"/>
    <x v="2"/>
    <n v="1000"/>
    <n v="862"/>
    <x v="0"/>
    <n v="50"/>
    <x v="0"/>
    <x v="1"/>
    <x v="1"/>
    <n v="0.86199999999999999"/>
    <n v="5.8004640371229696E-2"/>
  </r>
  <r>
    <x v="113"/>
    <n v="46136"/>
    <s v="24"/>
    <x v="2"/>
    <x v="2"/>
    <n v="1500"/>
    <n v="1236"/>
    <x v="1"/>
    <n v="44"/>
    <x v="1"/>
    <x v="3"/>
    <x v="1"/>
    <n v="0.82399999999999995"/>
    <n v="3.5598705501618123E-2"/>
  </r>
  <r>
    <x v="114"/>
    <n v="46137"/>
    <s v="25"/>
    <x v="3"/>
    <x v="1"/>
    <n v="1000"/>
    <n v="972"/>
    <x v="2"/>
    <n v="42"/>
    <x v="2"/>
    <x v="1"/>
    <x v="1"/>
    <n v="0.97199999999999998"/>
    <n v="4.3209876543209874E-2"/>
  </r>
  <r>
    <x v="115"/>
    <n v="46138"/>
    <s v="26"/>
    <x v="0"/>
    <x v="0"/>
    <n v="1000"/>
    <n v="1010"/>
    <x v="2"/>
    <n v="5"/>
    <x v="2"/>
    <x v="0"/>
    <x v="0"/>
    <n v="1.01"/>
    <n v="4.9504950495049506E-3"/>
  </r>
  <r>
    <x v="116"/>
    <n v="46139"/>
    <s v="27"/>
    <x v="3"/>
    <x v="2"/>
    <n v="1500"/>
    <n v="1241"/>
    <x v="5"/>
    <n v="33"/>
    <x v="5"/>
    <x v="1"/>
    <x v="1"/>
    <n v="0.82733333333333337"/>
    <n v="2.6591458501208701E-2"/>
  </r>
  <r>
    <x v="117"/>
    <n v="46140"/>
    <s v="28"/>
    <x v="2"/>
    <x v="0"/>
    <n v="1500"/>
    <n v="1481"/>
    <x v="4"/>
    <n v="30"/>
    <x v="4"/>
    <x v="3"/>
    <x v="0"/>
    <n v="0.98733333333333329"/>
    <n v="2.025658338960162E-2"/>
  </r>
  <r>
    <x v="118"/>
    <n v="46141"/>
    <s v="29"/>
    <x v="3"/>
    <x v="0"/>
    <n v="1500"/>
    <n v="1313"/>
    <x v="2"/>
    <n v="20"/>
    <x v="2"/>
    <x v="1"/>
    <x v="1"/>
    <n v="0.8753333333333333"/>
    <n v="1.5232292460015232E-2"/>
  </r>
  <r>
    <x v="119"/>
    <n v="46142"/>
    <s v="30"/>
    <x v="2"/>
    <x v="2"/>
    <n v="1500"/>
    <n v="1303"/>
    <x v="1"/>
    <n v="24"/>
    <x v="1"/>
    <x v="2"/>
    <x v="2"/>
    <n v="0.8686666666666667"/>
    <n v="1.841903300076746E-2"/>
  </r>
  <r>
    <x v="120"/>
    <n v="46143"/>
    <s v="01"/>
    <x v="3"/>
    <x v="2"/>
    <n v="1200"/>
    <n v="1144"/>
    <x v="4"/>
    <n v="9"/>
    <x v="4"/>
    <x v="2"/>
    <x v="1"/>
    <n v="0.95333333333333337"/>
    <n v="7.8671328671328679E-3"/>
  </r>
  <r>
    <x v="121"/>
    <n v="46144"/>
    <s v="02"/>
    <x v="1"/>
    <x v="2"/>
    <n v="1000"/>
    <n v="931"/>
    <x v="3"/>
    <n v="44"/>
    <x v="3"/>
    <x v="0"/>
    <x v="1"/>
    <n v="0.93100000000000005"/>
    <n v="4.7261009667024706E-2"/>
  </r>
  <r>
    <x v="122"/>
    <n v="46145"/>
    <s v="03"/>
    <x v="3"/>
    <x v="1"/>
    <n v="1500"/>
    <n v="1257"/>
    <x v="5"/>
    <n v="54"/>
    <x v="5"/>
    <x v="0"/>
    <x v="0"/>
    <n v="0.83799999999999997"/>
    <n v="4.2959427207637228E-2"/>
  </r>
  <r>
    <x v="123"/>
    <n v="46146"/>
    <s v="04"/>
    <x v="1"/>
    <x v="2"/>
    <n v="1200"/>
    <n v="1055"/>
    <x v="4"/>
    <n v="52"/>
    <x v="4"/>
    <x v="2"/>
    <x v="2"/>
    <n v="0.87916666666666665"/>
    <n v="4.9289099526066353E-2"/>
  </r>
  <r>
    <x v="124"/>
    <n v="46147"/>
    <s v="05"/>
    <x v="3"/>
    <x v="1"/>
    <n v="1200"/>
    <n v="1140"/>
    <x v="0"/>
    <n v="32"/>
    <x v="0"/>
    <x v="3"/>
    <x v="0"/>
    <n v="0.95"/>
    <n v="2.8070175438596492E-2"/>
  </r>
  <r>
    <x v="125"/>
    <n v="46148"/>
    <s v="06"/>
    <x v="1"/>
    <x v="1"/>
    <n v="1500"/>
    <n v="1412"/>
    <x v="3"/>
    <n v="39"/>
    <x v="3"/>
    <x v="3"/>
    <x v="1"/>
    <n v="0.94133333333333336"/>
    <n v="2.7620396600566571E-2"/>
  </r>
  <r>
    <x v="126"/>
    <n v="46149"/>
    <s v="07"/>
    <x v="2"/>
    <x v="2"/>
    <n v="1200"/>
    <n v="1088"/>
    <x v="0"/>
    <n v="14"/>
    <x v="0"/>
    <x v="3"/>
    <x v="1"/>
    <n v="0.90666666666666662"/>
    <n v="1.2867647058823529E-2"/>
  </r>
  <r>
    <x v="127"/>
    <n v="46150"/>
    <s v="08"/>
    <x v="3"/>
    <x v="1"/>
    <n v="1200"/>
    <n v="1086"/>
    <x v="5"/>
    <n v="15"/>
    <x v="5"/>
    <x v="1"/>
    <x v="1"/>
    <n v="0.90500000000000003"/>
    <n v="1.3812154696132596E-2"/>
  </r>
  <r>
    <x v="128"/>
    <n v="46151"/>
    <s v="09"/>
    <x v="2"/>
    <x v="2"/>
    <n v="1200"/>
    <n v="1114"/>
    <x v="0"/>
    <n v="26"/>
    <x v="0"/>
    <x v="0"/>
    <x v="1"/>
    <n v="0.92833333333333334"/>
    <n v="2.333931777378815E-2"/>
  </r>
  <r>
    <x v="129"/>
    <n v="46152"/>
    <s v="10"/>
    <x v="3"/>
    <x v="0"/>
    <n v="1200"/>
    <n v="1155"/>
    <x v="0"/>
    <n v="25"/>
    <x v="0"/>
    <x v="1"/>
    <x v="1"/>
    <n v="0.96250000000000002"/>
    <n v="2.1645021645021644E-2"/>
  </r>
  <r>
    <x v="130"/>
    <n v="46153"/>
    <s v="11"/>
    <x v="0"/>
    <x v="2"/>
    <n v="1000"/>
    <n v="867"/>
    <x v="4"/>
    <n v="39"/>
    <x v="4"/>
    <x v="2"/>
    <x v="1"/>
    <n v="0.86699999999999999"/>
    <n v="4.4982698961937718E-2"/>
  </r>
  <r>
    <x v="131"/>
    <n v="46154"/>
    <s v="12"/>
    <x v="0"/>
    <x v="2"/>
    <n v="1000"/>
    <n v="934"/>
    <x v="4"/>
    <n v="26"/>
    <x v="4"/>
    <x v="2"/>
    <x v="0"/>
    <n v="0.93400000000000005"/>
    <n v="2.7837259100642397E-2"/>
  </r>
  <r>
    <x v="132"/>
    <n v="46155"/>
    <s v="13"/>
    <x v="0"/>
    <x v="1"/>
    <n v="1200"/>
    <n v="1052"/>
    <x v="4"/>
    <n v="46"/>
    <x v="4"/>
    <x v="3"/>
    <x v="1"/>
    <n v="0.87666666666666671"/>
    <n v="4.3726235741444866E-2"/>
  </r>
  <r>
    <x v="133"/>
    <n v="46156"/>
    <s v="14"/>
    <x v="0"/>
    <x v="2"/>
    <n v="1000"/>
    <n v="936"/>
    <x v="2"/>
    <n v="32"/>
    <x v="2"/>
    <x v="3"/>
    <x v="1"/>
    <n v="0.93600000000000005"/>
    <n v="3.4188034188034191E-2"/>
  </r>
  <r>
    <x v="134"/>
    <n v="46157"/>
    <s v="15"/>
    <x v="0"/>
    <x v="0"/>
    <n v="1000"/>
    <n v="956"/>
    <x v="0"/>
    <n v="44"/>
    <x v="0"/>
    <x v="3"/>
    <x v="0"/>
    <n v="0.95599999999999996"/>
    <n v="4.6025104602510462E-2"/>
  </r>
  <r>
    <x v="135"/>
    <n v="46158"/>
    <s v="16"/>
    <x v="3"/>
    <x v="0"/>
    <n v="1000"/>
    <n v="864"/>
    <x v="2"/>
    <n v="11"/>
    <x v="2"/>
    <x v="0"/>
    <x v="0"/>
    <n v="0.86399999999999999"/>
    <n v="1.2731481481481481E-2"/>
  </r>
  <r>
    <x v="136"/>
    <n v="46159"/>
    <s v="17"/>
    <x v="0"/>
    <x v="2"/>
    <n v="1500"/>
    <n v="1355"/>
    <x v="2"/>
    <n v="10"/>
    <x v="2"/>
    <x v="1"/>
    <x v="1"/>
    <n v="0.90333333333333332"/>
    <n v="7.3800738007380072E-3"/>
  </r>
  <r>
    <x v="137"/>
    <n v="46160"/>
    <s v="18"/>
    <x v="3"/>
    <x v="2"/>
    <n v="1500"/>
    <n v="1373"/>
    <x v="4"/>
    <n v="37"/>
    <x v="4"/>
    <x v="3"/>
    <x v="1"/>
    <n v="0.91533333333333333"/>
    <n v="2.6948288419519302E-2"/>
  </r>
  <r>
    <x v="138"/>
    <n v="46161"/>
    <s v="19"/>
    <x v="3"/>
    <x v="2"/>
    <n v="1200"/>
    <n v="1005"/>
    <x v="4"/>
    <n v="20"/>
    <x v="4"/>
    <x v="3"/>
    <x v="0"/>
    <n v="0.83750000000000002"/>
    <n v="1.9900497512437811E-2"/>
  </r>
  <r>
    <x v="139"/>
    <n v="46162"/>
    <s v="20"/>
    <x v="0"/>
    <x v="1"/>
    <n v="1200"/>
    <n v="1194"/>
    <x v="0"/>
    <n v="10"/>
    <x v="0"/>
    <x v="2"/>
    <x v="1"/>
    <n v="0.995"/>
    <n v="8.3752093802345051E-3"/>
  </r>
  <r>
    <x v="140"/>
    <n v="46163"/>
    <s v="21"/>
    <x v="1"/>
    <x v="1"/>
    <n v="1000"/>
    <n v="836"/>
    <x v="0"/>
    <n v="57"/>
    <x v="0"/>
    <x v="0"/>
    <x v="2"/>
    <n v="0.83599999999999997"/>
    <n v="6.8181818181818177E-2"/>
  </r>
  <r>
    <x v="141"/>
    <n v="46164"/>
    <s v="22"/>
    <x v="3"/>
    <x v="1"/>
    <n v="1000"/>
    <n v="971"/>
    <x v="1"/>
    <n v="12"/>
    <x v="1"/>
    <x v="1"/>
    <x v="1"/>
    <n v="0.97099999999999997"/>
    <n v="1.2358393408856848E-2"/>
  </r>
  <r>
    <x v="142"/>
    <n v="46165"/>
    <s v="23"/>
    <x v="2"/>
    <x v="1"/>
    <n v="1000"/>
    <n v="1014"/>
    <x v="2"/>
    <n v="23"/>
    <x v="2"/>
    <x v="0"/>
    <x v="1"/>
    <n v="1.014"/>
    <n v="2.2682445759368838E-2"/>
  </r>
  <r>
    <x v="143"/>
    <n v="46166"/>
    <s v="24"/>
    <x v="2"/>
    <x v="2"/>
    <n v="1200"/>
    <n v="1214"/>
    <x v="0"/>
    <n v="28"/>
    <x v="0"/>
    <x v="2"/>
    <x v="1"/>
    <n v="1.0116666666666667"/>
    <n v="2.3064250411861616E-2"/>
  </r>
  <r>
    <x v="144"/>
    <n v="46167"/>
    <s v="25"/>
    <x v="0"/>
    <x v="2"/>
    <n v="1500"/>
    <n v="1453"/>
    <x v="4"/>
    <n v="26"/>
    <x v="4"/>
    <x v="3"/>
    <x v="0"/>
    <n v="0.96866666666666668"/>
    <n v="1.7894012388162423E-2"/>
  </r>
  <r>
    <x v="145"/>
    <n v="46168"/>
    <s v="26"/>
    <x v="1"/>
    <x v="2"/>
    <n v="1000"/>
    <n v="918"/>
    <x v="2"/>
    <n v="21"/>
    <x v="2"/>
    <x v="3"/>
    <x v="1"/>
    <n v="0.91800000000000004"/>
    <n v="2.2875816993464051E-2"/>
  </r>
  <r>
    <x v="146"/>
    <n v="46169"/>
    <s v="27"/>
    <x v="2"/>
    <x v="0"/>
    <n v="1200"/>
    <n v="1118"/>
    <x v="1"/>
    <n v="17"/>
    <x v="1"/>
    <x v="0"/>
    <x v="1"/>
    <n v="0.93166666666666664"/>
    <n v="1.520572450805009E-2"/>
  </r>
  <r>
    <x v="147"/>
    <n v="46170"/>
    <s v="28"/>
    <x v="2"/>
    <x v="2"/>
    <n v="1500"/>
    <n v="1331"/>
    <x v="5"/>
    <n v="55"/>
    <x v="5"/>
    <x v="1"/>
    <x v="0"/>
    <n v="0.88733333333333331"/>
    <n v="4.1322314049586778E-2"/>
  </r>
  <r>
    <x v="148"/>
    <n v="46171"/>
    <s v="29"/>
    <x v="2"/>
    <x v="2"/>
    <n v="1000"/>
    <n v="831"/>
    <x v="3"/>
    <n v="27"/>
    <x v="3"/>
    <x v="0"/>
    <x v="2"/>
    <n v="0.83099999999999996"/>
    <n v="3.2490974729241874E-2"/>
  </r>
  <r>
    <x v="149"/>
    <n v="46172"/>
    <s v="30"/>
    <x v="1"/>
    <x v="0"/>
    <n v="1500"/>
    <n v="1398"/>
    <x v="0"/>
    <n v="18"/>
    <x v="0"/>
    <x v="1"/>
    <x v="0"/>
    <n v="0.93200000000000005"/>
    <n v="1.2875536480686695E-2"/>
  </r>
  <r>
    <x v="150"/>
    <n v="46173"/>
    <s v="31"/>
    <x v="2"/>
    <x v="0"/>
    <n v="1000"/>
    <n v="923"/>
    <x v="0"/>
    <n v="5"/>
    <x v="0"/>
    <x v="2"/>
    <x v="2"/>
    <n v="0.92300000000000004"/>
    <n v="5.4171180931744311E-3"/>
  </r>
  <r>
    <x v="151"/>
    <n v="46174"/>
    <s v="01"/>
    <x v="2"/>
    <x v="1"/>
    <n v="1200"/>
    <n v="1029"/>
    <x v="3"/>
    <n v="45"/>
    <x v="3"/>
    <x v="1"/>
    <x v="1"/>
    <n v="0.85750000000000004"/>
    <n v="4.3731778425655975E-2"/>
  </r>
  <r>
    <x v="152"/>
    <n v="46175"/>
    <s v="02"/>
    <x v="0"/>
    <x v="1"/>
    <n v="1500"/>
    <n v="1245"/>
    <x v="0"/>
    <n v="18"/>
    <x v="0"/>
    <x v="0"/>
    <x v="1"/>
    <n v="0.83"/>
    <n v="1.4457831325301205E-2"/>
  </r>
  <r>
    <x v="153"/>
    <n v="46176"/>
    <s v="03"/>
    <x v="2"/>
    <x v="2"/>
    <n v="1500"/>
    <n v="1460"/>
    <x v="1"/>
    <n v="14"/>
    <x v="1"/>
    <x v="1"/>
    <x v="1"/>
    <n v="0.97333333333333338"/>
    <n v="9.5890410958904115E-3"/>
  </r>
  <r>
    <x v="154"/>
    <n v="46177"/>
    <s v="04"/>
    <x v="3"/>
    <x v="1"/>
    <n v="1000"/>
    <n v="838"/>
    <x v="1"/>
    <n v="27"/>
    <x v="1"/>
    <x v="3"/>
    <x v="1"/>
    <n v="0.83799999999999997"/>
    <n v="3.2219570405727926E-2"/>
  </r>
  <r>
    <x v="155"/>
    <n v="46178"/>
    <s v="05"/>
    <x v="1"/>
    <x v="2"/>
    <n v="1200"/>
    <n v="1029"/>
    <x v="0"/>
    <n v="41"/>
    <x v="0"/>
    <x v="2"/>
    <x v="1"/>
    <n v="0.85750000000000004"/>
    <n v="3.9844509232264333E-2"/>
  </r>
  <r>
    <x v="156"/>
    <n v="46179"/>
    <s v="06"/>
    <x v="1"/>
    <x v="2"/>
    <n v="1500"/>
    <n v="1449"/>
    <x v="2"/>
    <n v="43"/>
    <x v="2"/>
    <x v="3"/>
    <x v="1"/>
    <n v="0.96599999999999997"/>
    <n v="2.9675638371290544E-2"/>
  </r>
  <r>
    <x v="157"/>
    <n v="46180"/>
    <s v="07"/>
    <x v="1"/>
    <x v="2"/>
    <n v="1000"/>
    <n v="954"/>
    <x v="4"/>
    <n v="26"/>
    <x v="4"/>
    <x v="3"/>
    <x v="0"/>
    <n v="0.95399999999999996"/>
    <n v="2.7253668763102725E-2"/>
  </r>
  <r>
    <x v="158"/>
    <n v="46181"/>
    <s v="08"/>
    <x v="3"/>
    <x v="1"/>
    <n v="1000"/>
    <n v="899"/>
    <x v="0"/>
    <n v="39"/>
    <x v="0"/>
    <x v="0"/>
    <x v="1"/>
    <n v="0.89900000000000002"/>
    <n v="4.3381535038932148E-2"/>
  </r>
  <r>
    <x v="159"/>
    <n v="46182"/>
    <s v="09"/>
    <x v="2"/>
    <x v="2"/>
    <n v="1000"/>
    <n v="875"/>
    <x v="3"/>
    <n v="50"/>
    <x v="3"/>
    <x v="0"/>
    <x v="2"/>
    <n v="0.875"/>
    <n v="5.7142857142857141E-2"/>
  </r>
  <r>
    <x v="160"/>
    <n v="46183"/>
    <s v="10"/>
    <x v="3"/>
    <x v="0"/>
    <n v="1000"/>
    <n v="922"/>
    <x v="2"/>
    <n v="38"/>
    <x v="2"/>
    <x v="2"/>
    <x v="1"/>
    <n v="0.92200000000000004"/>
    <n v="4.1214750542299353E-2"/>
  </r>
  <r>
    <x v="161"/>
    <n v="46184"/>
    <s v="11"/>
    <x v="1"/>
    <x v="2"/>
    <n v="1200"/>
    <n v="1119"/>
    <x v="1"/>
    <n v="27"/>
    <x v="1"/>
    <x v="2"/>
    <x v="1"/>
    <n v="0.9325"/>
    <n v="2.4128686327077747E-2"/>
  </r>
  <r>
    <x v="162"/>
    <n v="46185"/>
    <s v="12"/>
    <x v="2"/>
    <x v="0"/>
    <n v="1000"/>
    <n v="974"/>
    <x v="4"/>
    <n v="13"/>
    <x v="4"/>
    <x v="2"/>
    <x v="0"/>
    <n v="0.97399999999999998"/>
    <n v="1.3347022587268994E-2"/>
  </r>
  <r>
    <x v="163"/>
    <n v="46186"/>
    <s v="13"/>
    <x v="0"/>
    <x v="0"/>
    <n v="1200"/>
    <n v="997"/>
    <x v="0"/>
    <n v="11"/>
    <x v="0"/>
    <x v="1"/>
    <x v="0"/>
    <n v="0.83083333333333331"/>
    <n v="1.1033099297893681E-2"/>
  </r>
  <r>
    <x v="164"/>
    <n v="46187"/>
    <s v="14"/>
    <x v="0"/>
    <x v="0"/>
    <n v="1000"/>
    <n v="1009"/>
    <x v="1"/>
    <n v="8"/>
    <x v="1"/>
    <x v="2"/>
    <x v="1"/>
    <n v="1.0089999999999999"/>
    <n v="7.9286422200198214E-3"/>
  </r>
  <r>
    <x v="165"/>
    <n v="46188"/>
    <s v="15"/>
    <x v="1"/>
    <x v="0"/>
    <n v="1500"/>
    <n v="1439"/>
    <x v="4"/>
    <n v="20"/>
    <x v="4"/>
    <x v="0"/>
    <x v="2"/>
    <n v="0.95933333333333337"/>
    <n v="1.3898540653231411E-2"/>
  </r>
  <r>
    <x v="166"/>
    <n v="46189"/>
    <s v="16"/>
    <x v="1"/>
    <x v="1"/>
    <n v="1000"/>
    <n v="1004"/>
    <x v="5"/>
    <n v="32"/>
    <x v="5"/>
    <x v="1"/>
    <x v="1"/>
    <n v="1.004"/>
    <n v="3.1872509960159362E-2"/>
  </r>
  <r>
    <x v="167"/>
    <n v="46190"/>
    <s v="17"/>
    <x v="3"/>
    <x v="2"/>
    <n v="1500"/>
    <n v="1522"/>
    <x v="0"/>
    <n v="22"/>
    <x v="0"/>
    <x v="3"/>
    <x v="1"/>
    <n v="1.0146666666666666"/>
    <n v="1.4454664914586071E-2"/>
  </r>
  <r>
    <x v="168"/>
    <n v="46191"/>
    <s v="18"/>
    <x v="3"/>
    <x v="0"/>
    <n v="1500"/>
    <n v="1276"/>
    <x v="4"/>
    <n v="42"/>
    <x v="4"/>
    <x v="1"/>
    <x v="2"/>
    <n v="0.85066666666666668"/>
    <n v="3.2915360501567396E-2"/>
  </r>
  <r>
    <x v="169"/>
    <n v="46192"/>
    <s v="19"/>
    <x v="0"/>
    <x v="1"/>
    <n v="1000"/>
    <n v="827"/>
    <x v="0"/>
    <n v="52"/>
    <x v="0"/>
    <x v="3"/>
    <x v="1"/>
    <n v="0.82699999999999996"/>
    <n v="6.2877871825876661E-2"/>
  </r>
  <r>
    <x v="170"/>
    <n v="46193"/>
    <s v="20"/>
    <x v="2"/>
    <x v="2"/>
    <n v="1200"/>
    <n v="1162"/>
    <x v="2"/>
    <n v="29"/>
    <x v="2"/>
    <x v="1"/>
    <x v="1"/>
    <n v="0.96833333333333338"/>
    <n v="2.4956970740103269E-2"/>
  </r>
  <r>
    <x v="171"/>
    <n v="46194"/>
    <s v="21"/>
    <x v="2"/>
    <x v="2"/>
    <n v="1500"/>
    <n v="1343"/>
    <x v="4"/>
    <n v="27"/>
    <x v="4"/>
    <x v="1"/>
    <x v="1"/>
    <n v="0.89533333333333331"/>
    <n v="2.0104244229337303E-2"/>
  </r>
  <r>
    <x v="172"/>
    <n v="46195"/>
    <s v="22"/>
    <x v="2"/>
    <x v="2"/>
    <n v="1000"/>
    <n v="858"/>
    <x v="0"/>
    <n v="9"/>
    <x v="0"/>
    <x v="2"/>
    <x v="1"/>
    <n v="0.85799999999999998"/>
    <n v="1.048951048951049E-2"/>
  </r>
  <r>
    <x v="173"/>
    <n v="46196"/>
    <s v="23"/>
    <x v="0"/>
    <x v="1"/>
    <n v="1000"/>
    <n v="930"/>
    <x v="4"/>
    <n v="27"/>
    <x v="4"/>
    <x v="2"/>
    <x v="0"/>
    <n v="0.93"/>
    <n v="2.903225806451613E-2"/>
  </r>
  <r>
    <x v="174"/>
    <n v="46197"/>
    <s v="24"/>
    <x v="3"/>
    <x v="0"/>
    <n v="1500"/>
    <n v="1500"/>
    <x v="4"/>
    <n v="16"/>
    <x v="4"/>
    <x v="3"/>
    <x v="2"/>
    <n v="1"/>
    <n v="1.0666666666666666E-2"/>
  </r>
  <r>
    <x v="175"/>
    <n v="46198"/>
    <s v="25"/>
    <x v="3"/>
    <x v="1"/>
    <n v="1000"/>
    <n v="1010"/>
    <x v="0"/>
    <n v="35"/>
    <x v="0"/>
    <x v="1"/>
    <x v="2"/>
    <n v="1.01"/>
    <n v="3.4653465346534656E-2"/>
  </r>
  <r>
    <x v="176"/>
    <n v="46199"/>
    <s v="26"/>
    <x v="0"/>
    <x v="2"/>
    <n v="1200"/>
    <n v="989"/>
    <x v="2"/>
    <n v="41"/>
    <x v="2"/>
    <x v="1"/>
    <x v="1"/>
    <n v="0.82416666666666671"/>
    <n v="4.1456016177957536E-2"/>
  </r>
  <r>
    <x v="177"/>
    <n v="46200"/>
    <s v="27"/>
    <x v="0"/>
    <x v="1"/>
    <n v="1500"/>
    <n v="1278"/>
    <x v="4"/>
    <n v="29"/>
    <x v="4"/>
    <x v="3"/>
    <x v="1"/>
    <n v="0.85199999999999998"/>
    <n v="2.2691705790297341E-2"/>
  </r>
  <r>
    <x v="178"/>
    <n v="46201"/>
    <s v="28"/>
    <x v="1"/>
    <x v="1"/>
    <n v="1500"/>
    <n v="1397"/>
    <x v="0"/>
    <n v="24"/>
    <x v="0"/>
    <x v="3"/>
    <x v="2"/>
    <n v="0.93133333333333335"/>
    <n v="1.7179670722977811E-2"/>
  </r>
  <r>
    <x v="179"/>
    <n v="46202"/>
    <s v="29"/>
    <x v="3"/>
    <x v="0"/>
    <n v="1000"/>
    <n v="887"/>
    <x v="0"/>
    <n v="6"/>
    <x v="0"/>
    <x v="3"/>
    <x v="1"/>
    <n v="0.88700000000000001"/>
    <n v="6.7643742953776773E-3"/>
  </r>
  <r>
    <x v="180"/>
    <n v="46203"/>
    <s v="30"/>
    <x v="3"/>
    <x v="0"/>
    <n v="1200"/>
    <n v="1161"/>
    <x v="4"/>
    <n v="40"/>
    <x v="4"/>
    <x v="1"/>
    <x v="1"/>
    <n v="0.96750000000000003"/>
    <n v="3.445305770887166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F3B0C-6AB6-4EAF-91F8-FDAC04381B7C}" name="PivotTable11" cacheId="1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M16:N20" firstHeaderRow="1" firstDataRow="1" firstDataCol="1"/>
  <pivotFields count="21">
    <pivotField numFmtId="164" showAll="0">
      <items count="251">
        <item x="0"/>
        <item x="2"/>
        <item x="3"/>
        <item x="4"/>
        <item x="5"/>
        <item x="6"/>
        <item x="7"/>
        <item x="8"/>
        <item x="9"/>
        <item x="10"/>
        <item x="11"/>
        <item x="12"/>
        <item x="13"/>
        <item x="14"/>
        <item x="15"/>
        <item x="16"/>
        <item x="18"/>
        <item x="19"/>
        <item x="20"/>
        <item x="21"/>
        <item x="22"/>
        <item x="23"/>
        <item x="24"/>
        <item x="25"/>
        <item x="28"/>
        <item x="29"/>
        <item x="31"/>
        <item x="32"/>
        <item x="33"/>
        <item x="34"/>
        <item x="36"/>
        <item x="37"/>
        <item x="39"/>
        <item x="40"/>
        <item x="43"/>
        <item x="45"/>
        <item x="46"/>
        <item x="48"/>
        <item x="49"/>
        <item x="50"/>
        <item x="51"/>
        <item x="52"/>
        <item x="53"/>
        <item x="54"/>
        <item x="55"/>
        <item x="57"/>
        <item x="59"/>
        <item x="60"/>
        <item x="61"/>
        <item x="62"/>
        <item x="64"/>
        <item x="65"/>
        <item x="66"/>
        <item x="67"/>
        <item x="68"/>
        <item x="69"/>
        <item x="70"/>
        <item x="72"/>
        <item x="73"/>
        <item x="74"/>
        <item x="77"/>
        <item x="78"/>
        <item x="79"/>
        <item x="80"/>
        <item x="81"/>
        <item x="83"/>
        <item x="84"/>
        <item x="85"/>
        <item x="86"/>
        <item x="87"/>
        <item x="88"/>
        <item x="89"/>
        <item x="91"/>
        <item x="94"/>
        <item x="95"/>
        <item x="96"/>
        <item x="97"/>
        <item x="98"/>
        <item x="99"/>
        <item x="101"/>
        <item x="102"/>
        <item x="103"/>
        <item x="105"/>
        <item x="106"/>
        <item x="107"/>
        <item x="108"/>
        <item x="110"/>
        <item x="111"/>
        <item x="113"/>
        <item x="114"/>
        <item x="115"/>
        <item x="116"/>
        <item x="118"/>
        <item x="119"/>
        <item x="120"/>
        <item x="121"/>
        <item x="122"/>
        <item x="123"/>
        <item x="124"/>
        <item x="125"/>
        <item x="127"/>
        <item x="128"/>
        <item x="129"/>
        <item x="130"/>
        <item x="131"/>
        <item x="133"/>
        <item x="134"/>
        <item x="135"/>
        <item x="136"/>
        <item x="137"/>
        <item x="138"/>
        <item x="140"/>
        <item x="141"/>
        <item x="145"/>
        <item x="146"/>
        <item x="148"/>
        <item x="149"/>
        <item x="150"/>
        <item x="151"/>
        <item x="152"/>
        <item x="153"/>
        <item x="154"/>
        <item x="157"/>
        <item x="158"/>
        <item x="159"/>
        <item x="160"/>
        <item x="162"/>
        <item x="163"/>
        <item x="1"/>
        <item x="17"/>
        <item x="26"/>
        <item x="27"/>
        <item x="30"/>
        <item x="35"/>
        <item x="38"/>
        <item x="41"/>
        <item x="42"/>
        <item x="44"/>
        <item x="47"/>
        <item x="56"/>
        <item x="58"/>
        <item x="63"/>
        <item x="71"/>
        <item x="75"/>
        <item x="76"/>
        <item x="82"/>
        <item x="90"/>
        <item x="92"/>
        <item x="93"/>
        <item x="100"/>
        <item x="104"/>
        <item x="109"/>
        <item x="112"/>
        <item x="117"/>
        <item x="126"/>
        <item x="132"/>
        <item x="139"/>
        <item x="142"/>
        <item x="143"/>
        <item x="144"/>
        <item x="147"/>
        <item x="155"/>
        <item x="156"/>
        <item x="161"/>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showAll="0">
      <items count="5">
        <item x="0"/>
        <item x="3"/>
        <item x="2"/>
        <item x="1"/>
        <item t="default"/>
      </items>
    </pivotField>
    <pivotField showAll="0"/>
    <pivotField numFmtId="3" showAll="0"/>
    <pivotField numFmtId="3" showAll="0"/>
    <pivotField showAll="0">
      <items count="7">
        <item x="4"/>
        <item x="5"/>
        <item x="2"/>
        <item x="3"/>
        <item x="0"/>
        <item x="1"/>
        <item t="default"/>
      </items>
    </pivotField>
    <pivotField numFmtId="3" showAll="0"/>
    <pivotField showAll="0"/>
    <pivotField showAll="0"/>
    <pivotField axis="axisRow" dataField="1" showAll="0">
      <items count="4">
        <item x="1"/>
        <item x="0"/>
        <item x="2"/>
        <item t="default"/>
      </items>
    </pivotField>
    <pivotField numFmtId="165" showAll="0"/>
    <pivotField numFmtId="10"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dataFields count="1">
    <dataField name="Count of Action Status" fld="11" subtotal="count" baseField="0" baseItem="0"/>
  </dataFields>
  <chartFormats count="9">
    <chartFormat chart="37"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11" count="1" selected="0">
            <x v="0"/>
          </reference>
        </references>
      </pivotArea>
    </chartFormat>
    <chartFormat chart="37" format="2">
      <pivotArea type="data" outline="0" fieldPosition="0">
        <references count="2">
          <reference field="4294967294" count="1" selected="0">
            <x v="0"/>
          </reference>
          <reference field="11" count="1" selected="0">
            <x v="1"/>
          </reference>
        </references>
      </pivotArea>
    </chartFormat>
    <chartFormat chart="37" format="3">
      <pivotArea type="data" outline="0" fieldPosition="0">
        <references count="2">
          <reference field="4294967294" count="1" selected="0">
            <x v="0"/>
          </reference>
          <reference field="11" count="1" selected="0">
            <x v="2"/>
          </reference>
        </references>
      </pivotArea>
    </chartFormat>
    <chartFormat chart="42" format="8" series="1">
      <pivotArea type="data" outline="0" fieldPosition="0">
        <references count="1">
          <reference field="4294967294" count="1" selected="0">
            <x v="0"/>
          </reference>
        </references>
      </pivotArea>
    </chartFormat>
    <chartFormat chart="42" format="9">
      <pivotArea type="data" outline="0" fieldPosition="0">
        <references count="2">
          <reference field="4294967294" count="1" selected="0">
            <x v="0"/>
          </reference>
          <reference field="11" count="1" selected="0">
            <x v="0"/>
          </reference>
        </references>
      </pivotArea>
    </chartFormat>
    <chartFormat chart="42" format="10">
      <pivotArea type="data" outline="0" fieldPosition="0">
        <references count="2">
          <reference field="4294967294" count="1" selected="0">
            <x v="0"/>
          </reference>
          <reference field="11" count="1" selected="0">
            <x v="1"/>
          </reference>
        </references>
      </pivotArea>
    </chartFormat>
    <chartFormat chart="42"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1EE9EA-C9FC-4E4F-9CEF-13EAB6B3B273}" name="PivotTable10" cacheId="10" dataOnRows="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M5:N11" firstHeaderRow="1" firstDataRow="1" firstDataCol="1"/>
  <pivotFields count="21">
    <pivotField numFmtId="1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showAll="0">
      <items count="5">
        <item x="0"/>
        <item x="3"/>
        <item x="2"/>
        <item x="1"/>
        <item t="default"/>
      </items>
    </pivotField>
    <pivotField showAll="0"/>
    <pivotField numFmtId="3" showAll="0"/>
    <pivotField numFmtId="3" showAll="0"/>
    <pivotField showAll="0">
      <items count="7">
        <item x="4"/>
        <item x="5"/>
        <item x="2"/>
        <item x="3"/>
        <item x="0"/>
        <item x="1"/>
        <item t="default"/>
      </items>
    </pivotField>
    <pivotField dataField="1" numFmtId="3" showAll="0"/>
    <pivotField axis="axisRow" showAll="0">
      <items count="7">
        <item x="1"/>
        <item x="4"/>
        <item x="0"/>
        <item x="5"/>
        <item x="3"/>
        <item x="2"/>
        <item t="default"/>
      </items>
    </pivotField>
    <pivotField showAll="0"/>
    <pivotField showAll="0"/>
    <pivotField numFmtId="165" showAll="0"/>
    <pivotField numFmtId="10"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6">
    <i>
      <x/>
    </i>
    <i>
      <x v="1"/>
    </i>
    <i>
      <x v="2"/>
    </i>
    <i>
      <x v="3"/>
    </i>
    <i>
      <x v="4"/>
    </i>
    <i>
      <x v="5"/>
    </i>
  </rowItems>
  <colItems count="1">
    <i/>
  </colItems>
  <dataFields count="1">
    <dataField name="Sum of Defect Qty (Pairs)"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5B4535-265C-4459-8D58-BAB3F8A50B6A}"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P1:S5" firstHeaderRow="0" firstDataRow="1" firstDataCol="1"/>
  <pivotFields count="21">
    <pivotField numFmtId="1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showAll="0">
      <items count="5">
        <item x="0"/>
        <item x="3"/>
        <item x="2"/>
        <item x="1"/>
        <item t="default"/>
      </items>
    </pivotField>
    <pivotField axis="axisRow" showAll="0">
      <items count="4">
        <item x="2"/>
        <item x="0"/>
        <item x="1"/>
        <item t="default"/>
      </items>
    </pivotField>
    <pivotField numFmtId="3" showAll="0"/>
    <pivotField dataField="1" numFmtId="3" showAll="0"/>
    <pivotField showAll="0">
      <items count="7">
        <item x="4"/>
        <item x="5"/>
        <item x="2"/>
        <item x="3"/>
        <item x="0"/>
        <item x="1"/>
        <item t="default"/>
      </items>
    </pivotField>
    <pivotField dataField="1" numFmtId="3" showAll="0"/>
    <pivotField showAll="0"/>
    <pivotField showAll="0"/>
    <pivotField showAll="0"/>
    <pivotField numFmtId="165" showAll="0"/>
    <pivotField numFmtId="10"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4"/>
  </rowFields>
  <rowItems count="4">
    <i>
      <x/>
    </i>
    <i>
      <x v="1"/>
    </i>
    <i>
      <x v="2"/>
    </i>
    <i t="grand">
      <x/>
    </i>
  </rowItems>
  <colFields count="1">
    <field x="-2"/>
  </colFields>
  <colItems count="3">
    <i>
      <x/>
    </i>
    <i i="1">
      <x v="1"/>
    </i>
    <i i="2">
      <x v="2"/>
    </i>
  </colItems>
  <dataFields count="3">
    <dataField name="Sum of Actual Output (Pairs)" fld="6" baseField="0" baseItem="0" numFmtId="3"/>
    <dataField name="Sum of Defect Qty (Pairs)" fld="8" baseField="0" baseItem="0" numFmtId="3"/>
    <dataField name="Sum of Defect Rate %" fld="18" baseField="0" baseItem="0" numFmtId="3"/>
  </dataFields>
  <formats count="4">
    <format dxfId="205">
      <pivotArea collapsedLevelsAreSubtotals="1" fieldPosition="0">
        <references count="2">
          <reference field="4294967294" count="1" selected="0">
            <x v="2"/>
          </reference>
          <reference field="4" count="1">
            <x v="0"/>
          </reference>
        </references>
      </pivotArea>
    </format>
    <format dxfId="204">
      <pivotArea collapsedLevelsAreSubtotals="1" fieldPosition="0">
        <references count="2">
          <reference field="4294967294" count="1" selected="0">
            <x v="2"/>
          </reference>
          <reference field="4" count="1">
            <x v="1"/>
          </reference>
        </references>
      </pivotArea>
    </format>
    <format dxfId="203">
      <pivotArea collapsedLevelsAreSubtotals="1" fieldPosition="0">
        <references count="2">
          <reference field="4294967294" count="1" selected="0">
            <x v="2"/>
          </reference>
          <reference field="4" count="1">
            <x v="2"/>
          </reference>
        </references>
      </pivotArea>
    </format>
    <format dxfId="202">
      <pivotArea field="4"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C17EBC-D977-4ABA-A478-3DEDA4E3CFD8}" name="PivotTable5" cacheId="1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J11:K16" firstHeaderRow="1" firstDataRow="1" firstDataCol="1"/>
  <pivotFields count="21">
    <pivotField numFmtId="164" showAll="0">
      <items count="251">
        <item x="0"/>
        <item x="2"/>
        <item x="3"/>
        <item x="4"/>
        <item x="5"/>
        <item x="6"/>
        <item x="7"/>
        <item x="8"/>
        <item x="9"/>
        <item x="10"/>
        <item x="11"/>
        <item x="12"/>
        <item x="13"/>
        <item x="14"/>
        <item x="15"/>
        <item x="16"/>
        <item x="18"/>
        <item x="19"/>
        <item x="20"/>
        <item x="21"/>
        <item x="22"/>
        <item x="23"/>
        <item x="24"/>
        <item x="25"/>
        <item x="28"/>
        <item x="29"/>
        <item x="31"/>
        <item x="32"/>
        <item x="33"/>
        <item x="34"/>
        <item x="36"/>
        <item x="37"/>
        <item x="39"/>
        <item x="40"/>
        <item x="43"/>
        <item x="45"/>
        <item x="46"/>
        <item x="48"/>
        <item x="49"/>
        <item x="50"/>
        <item x="51"/>
        <item x="52"/>
        <item x="53"/>
        <item x="54"/>
        <item x="55"/>
        <item x="57"/>
        <item x="59"/>
        <item x="60"/>
        <item x="61"/>
        <item x="62"/>
        <item x="64"/>
        <item x="65"/>
        <item x="66"/>
        <item x="67"/>
        <item x="68"/>
        <item x="69"/>
        <item x="70"/>
        <item x="72"/>
        <item x="73"/>
        <item x="74"/>
        <item x="77"/>
        <item x="78"/>
        <item x="79"/>
        <item x="80"/>
        <item x="81"/>
        <item x="83"/>
        <item x="84"/>
        <item x="85"/>
        <item x="86"/>
        <item x="87"/>
        <item x="88"/>
        <item x="89"/>
        <item x="91"/>
        <item x="94"/>
        <item x="95"/>
        <item x="96"/>
        <item x="97"/>
        <item x="98"/>
        <item x="99"/>
        <item x="101"/>
        <item x="102"/>
        <item x="103"/>
        <item x="105"/>
        <item x="106"/>
        <item x="107"/>
        <item x="108"/>
        <item x="110"/>
        <item x="111"/>
        <item x="113"/>
        <item x="114"/>
        <item x="115"/>
        <item x="116"/>
        <item x="118"/>
        <item x="119"/>
        <item x="120"/>
        <item x="121"/>
        <item x="122"/>
        <item x="123"/>
        <item x="124"/>
        <item x="125"/>
        <item x="127"/>
        <item x="128"/>
        <item x="129"/>
        <item x="130"/>
        <item x="131"/>
        <item x="133"/>
        <item x="134"/>
        <item x="135"/>
        <item x="136"/>
        <item x="137"/>
        <item x="138"/>
        <item x="140"/>
        <item x="141"/>
        <item x="145"/>
        <item x="146"/>
        <item x="148"/>
        <item x="149"/>
        <item x="150"/>
        <item x="151"/>
        <item x="152"/>
        <item x="153"/>
        <item x="154"/>
        <item x="157"/>
        <item x="158"/>
        <item x="159"/>
        <item x="160"/>
        <item x="162"/>
        <item x="163"/>
        <item x="1"/>
        <item x="17"/>
        <item x="26"/>
        <item x="27"/>
        <item x="30"/>
        <item x="35"/>
        <item x="38"/>
        <item x="41"/>
        <item x="42"/>
        <item x="44"/>
        <item x="47"/>
        <item x="56"/>
        <item x="58"/>
        <item x="63"/>
        <item x="71"/>
        <item x="75"/>
        <item x="76"/>
        <item x="82"/>
        <item x="90"/>
        <item x="92"/>
        <item x="93"/>
        <item x="100"/>
        <item x="104"/>
        <item x="109"/>
        <item x="112"/>
        <item x="117"/>
        <item x="126"/>
        <item x="132"/>
        <item x="139"/>
        <item x="142"/>
        <item x="143"/>
        <item x="144"/>
        <item x="147"/>
        <item x="155"/>
        <item x="156"/>
        <item x="161"/>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numFmtId="3" showAll="0"/>
    <pivotField numFmtId="3" showAll="0"/>
    <pivotField showAll="0">
      <items count="7">
        <item x="4"/>
        <item x="5"/>
        <item x="2"/>
        <item x="3"/>
        <item x="0"/>
        <item x="1"/>
        <item t="default"/>
      </items>
    </pivotField>
    <pivotField numFmtId="3" showAll="0"/>
    <pivotField showAll="0"/>
    <pivotField showAll="0"/>
    <pivotField showAll="0"/>
    <pivotField numFmtId="165" showAll="0"/>
    <pivotField numFmtId="10"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3"/>
  </rowFields>
  <rowItems count="5">
    <i>
      <x v="2"/>
    </i>
    <i>
      <x v="1"/>
    </i>
    <i>
      <x v="3"/>
    </i>
    <i>
      <x/>
    </i>
    <i t="grand">
      <x/>
    </i>
  </rowItems>
  <colItems count="1">
    <i/>
  </colItems>
  <dataFields count="1">
    <dataField name="Sum of achievment%" fld="20" baseField="0" baseItem="0" numFmtId="167"/>
  </dataFields>
  <formats count="1">
    <format dxfId="206">
      <pivotArea outline="0" collapsedLevelsAreSubtotals="1" fieldPosition="0">
        <references count="1">
          <reference field="4294967294" count="1" selected="0">
            <x v="0"/>
          </reference>
        </references>
      </pivotArea>
    </format>
  </formats>
  <chartFormats count="7">
    <chartFormat chart="15"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3" count="1" selected="0">
            <x v="3"/>
          </reference>
        </references>
      </pivotArea>
    </chartFormat>
    <chartFormat chart="28" format="14">
      <pivotArea type="data" outline="0" fieldPosition="0">
        <references count="2">
          <reference field="4294967294" count="1" selected="0">
            <x v="0"/>
          </reference>
          <reference field="3" count="1" selected="0">
            <x v="2"/>
          </reference>
        </references>
      </pivotArea>
    </chartFormat>
    <chartFormat chart="28" format="15">
      <pivotArea type="data" outline="0" fieldPosition="0">
        <references count="2">
          <reference field="4294967294" count="1" selected="0">
            <x v="0"/>
          </reference>
          <reference field="3" count="1" selected="0">
            <x v="1"/>
          </reference>
        </references>
      </pivotArea>
    </chartFormat>
    <chartFormat chart="28" format="1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A65177-330F-4EF2-937B-414CE6F4ECF1}" name="PivotTable9"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F37:H44" firstHeaderRow="0" firstDataRow="1" firstDataCol="1" rowPageCount="1" colPageCount="1"/>
  <pivotFields count="21">
    <pivotField numFmtId="164" showAll="0">
      <items count="251">
        <item x="0"/>
        <item x="2"/>
        <item x="3"/>
        <item x="4"/>
        <item x="5"/>
        <item x="6"/>
        <item x="7"/>
        <item x="8"/>
        <item x="9"/>
        <item x="10"/>
        <item x="11"/>
        <item x="12"/>
        <item x="13"/>
        <item x="14"/>
        <item x="15"/>
        <item x="16"/>
        <item x="18"/>
        <item x="19"/>
        <item x="20"/>
        <item x="21"/>
        <item x="22"/>
        <item x="23"/>
        <item x="24"/>
        <item x="25"/>
        <item x="28"/>
        <item x="29"/>
        <item x="31"/>
        <item x="32"/>
        <item x="33"/>
        <item x="34"/>
        <item x="36"/>
        <item x="37"/>
        <item x="39"/>
        <item x="40"/>
        <item x="43"/>
        <item x="45"/>
        <item x="46"/>
        <item x="48"/>
        <item x="49"/>
        <item x="50"/>
        <item x="51"/>
        <item x="52"/>
        <item x="53"/>
        <item x="54"/>
        <item x="55"/>
        <item x="57"/>
        <item x="59"/>
        <item x="60"/>
        <item x="61"/>
        <item x="62"/>
        <item x="64"/>
        <item x="65"/>
        <item x="66"/>
        <item x="67"/>
        <item x="68"/>
        <item x="69"/>
        <item x="70"/>
        <item x="72"/>
        <item x="73"/>
        <item x="74"/>
        <item x="77"/>
        <item x="78"/>
        <item x="79"/>
        <item x="80"/>
        <item x="81"/>
        <item x="83"/>
        <item x="84"/>
        <item x="85"/>
        <item x="86"/>
        <item x="87"/>
        <item x="88"/>
        <item x="89"/>
        <item x="91"/>
        <item x="94"/>
        <item x="95"/>
        <item x="96"/>
        <item x="97"/>
        <item x="98"/>
        <item x="99"/>
        <item x="101"/>
        <item x="102"/>
        <item x="103"/>
        <item x="105"/>
        <item x="106"/>
        <item x="107"/>
        <item x="108"/>
        <item x="110"/>
        <item x="111"/>
        <item x="113"/>
        <item x="114"/>
        <item x="115"/>
        <item x="116"/>
        <item x="118"/>
        <item x="119"/>
        <item x="120"/>
        <item x="121"/>
        <item x="122"/>
        <item x="123"/>
        <item x="124"/>
        <item x="125"/>
        <item x="127"/>
        <item x="128"/>
        <item x="129"/>
        <item x="130"/>
        <item x="131"/>
        <item x="133"/>
        <item x="134"/>
        <item x="135"/>
        <item x="136"/>
        <item x="137"/>
        <item x="138"/>
        <item x="140"/>
        <item x="141"/>
        <item x="145"/>
        <item x="146"/>
        <item x="148"/>
        <item x="149"/>
        <item x="150"/>
        <item x="151"/>
        <item x="152"/>
        <item x="153"/>
        <item x="154"/>
        <item x="157"/>
        <item x="158"/>
        <item x="159"/>
        <item x="160"/>
        <item x="162"/>
        <item x="163"/>
        <item x="1"/>
        <item x="17"/>
        <item x="26"/>
        <item x="27"/>
        <item x="30"/>
        <item x="35"/>
        <item x="38"/>
        <item x="41"/>
        <item x="42"/>
        <item x="44"/>
        <item x="47"/>
        <item x="56"/>
        <item x="58"/>
        <item x="63"/>
        <item x="71"/>
        <item x="75"/>
        <item x="76"/>
        <item x="82"/>
        <item x="90"/>
        <item x="92"/>
        <item x="93"/>
        <item x="100"/>
        <item x="104"/>
        <item x="109"/>
        <item x="112"/>
        <item x="117"/>
        <item x="126"/>
        <item x="132"/>
        <item x="139"/>
        <item x="142"/>
        <item x="143"/>
        <item x="144"/>
        <item x="147"/>
        <item x="155"/>
        <item x="156"/>
        <item x="161"/>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axis="axisPage" showAll="0">
      <items count="5">
        <item x="0"/>
        <item x="3"/>
        <item x="2"/>
        <item x="1"/>
        <item t="default"/>
      </items>
    </pivotField>
    <pivotField showAll="0"/>
    <pivotField numFmtId="3" showAll="0"/>
    <pivotField numFmtId="3" showAll="0"/>
    <pivotField axis="axisRow" showAll="0" sortType="descending">
      <items count="7">
        <item x="4"/>
        <item x="5"/>
        <item x="2"/>
        <item x="3"/>
        <item x="0"/>
        <item x="1"/>
        <item t="default"/>
      </items>
      <autoSortScope>
        <pivotArea dataOnly="0" outline="0" fieldPosition="0">
          <references count="1">
            <reference field="4294967294" count="1" selected="0">
              <x v="0"/>
            </reference>
          </references>
        </pivotArea>
      </autoSortScope>
    </pivotField>
    <pivotField dataField="1" numFmtId="3" showAll="0"/>
    <pivotField showAll="0"/>
    <pivotField showAll="0"/>
    <pivotField showAll="0"/>
    <pivotField numFmtId="165" showAll="0"/>
    <pivotField numFmtId="10"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7">
    <i>
      <x v="4"/>
    </i>
    <i>
      <x/>
    </i>
    <i>
      <x v="3"/>
    </i>
    <i>
      <x v="2"/>
    </i>
    <i>
      <x v="1"/>
    </i>
    <i>
      <x v="5"/>
    </i>
    <i t="grand">
      <x/>
    </i>
  </rowItems>
  <colFields count="1">
    <field x="-2"/>
  </colFields>
  <colItems count="2">
    <i>
      <x/>
    </i>
    <i i="1">
      <x v="1"/>
    </i>
  </colItems>
  <pageFields count="1">
    <pageField fld="3" hier="-1"/>
  </pageFields>
  <dataFields count="2">
    <dataField name="Sum of Defect Qty (Pairs)2" fld="8" baseField="0" baseItem="0" numFmtId="3"/>
    <dataField name="Sum of Defect Qty (Pairs)" fld="8" baseField="7" baseItem="0" numFmtId="10">
      <extLst>
        <ext xmlns:x14="http://schemas.microsoft.com/office/spreadsheetml/2009/9/main" uri="{E15A36E0-9728-4e99-A89B-3F7291B0FE68}">
          <x14:dataField pivotShowAs="percentOfRunningTotal"/>
        </ext>
      </extLst>
    </dataField>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7"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pivotArea type="data" outline="0" fieldPosition="0">
        <references count="2">
          <reference field="4294967294" count="1" selected="0">
            <x v="1"/>
          </reference>
          <reference field="7" count="1" selected="0">
            <x v="3"/>
          </reference>
        </references>
      </pivotArea>
    </chartFormat>
    <chartFormat chart="0" format="3">
      <pivotArea type="data" outline="0" fieldPosition="0">
        <references count="2">
          <reference field="4294967294" count="1" selected="0">
            <x v="1"/>
          </reference>
          <reference field="7" count="1" selected="0">
            <x v="1"/>
          </reference>
        </references>
      </pivotArea>
    </chartFormat>
    <chartFormat chart="3" format="9">
      <pivotArea type="data" outline="0" fieldPosition="0">
        <references count="2">
          <reference field="4294967294" count="1" selected="0">
            <x v="1"/>
          </reference>
          <reference field="7" count="1" selected="0">
            <x v="2"/>
          </reference>
        </references>
      </pivotArea>
    </chartFormat>
    <chartFormat chart="0" format="4">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ED82D1-CE1A-4557-BAA6-8E73DC28C71F}" name="PivotTable12" cacheId="1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M38:O55" firstHeaderRow="1" firstDataRow="1" firstDataCol="0"/>
  <pivotFields count="21">
    <pivotField numFmtId="164" showAll="0">
      <items count="251">
        <item x="0"/>
        <item x="2"/>
        <item x="3"/>
        <item x="4"/>
        <item x="5"/>
        <item x="6"/>
        <item x="7"/>
        <item x="8"/>
        <item x="9"/>
        <item x="10"/>
        <item x="11"/>
        <item x="12"/>
        <item x="13"/>
        <item x="14"/>
        <item x="15"/>
        <item x="16"/>
        <item x="18"/>
        <item x="19"/>
        <item x="20"/>
        <item x="21"/>
        <item x="22"/>
        <item x="23"/>
        <item x="24"/>
        <item x="25"/>
        <item x="28"/>
        <item x="29"/>
        <item x="31"/>
        <item x="32"/>
        <item x="33"/>
        <item x="34"/>
        <item x="36"/>
        <item x="37"/>
        <item x="39"/>
        <item x="40"/>
        <item x="43"/>
        <item x="45"/>
        <item x="46"/>
        <item x="48"/>
        <item x="49"/>
        <item x="50"/>
        <item x="51"/>
        <item x="52"/>
        <item x="53"/>
        <item x="54"/>
        <item x="55"/>
        <item x="57"/>
        <item x="59"/>
        <item x="60"/>
        <item x="61"/>
        <item x="62"/>
        <item x="64"/>
        <item x="65"/>
        <item x="66"/>
        <item x="67"/>
        <item x="68"/>
        <item x="69"/>
        <item x="70"/>
        <item x="72"/>
        <item x="73"/>
        <item x="74"/>
        <item x="77"/>
        <item x="78"/>
        <item x="79"/>
        <item x="80"/>
        <item x="81"/>
        <item x="83"/>
        <item x="84"/>
        <item x="85"/>
        <item x="86"/>
        <item x="87"/>
        <item x="88"/>
        <item x="89"/>
        <item x="91"/>
        <item x="94"/>
        <item x="95"/>
        <item x="96"/>
        <item x="97"/>
        <item x="98"/>
        <item x="99"/>
        <item x="101"/>
        <item x="102"/>
        <item x="103"/>
        <item x="105"/>
        <item x="106"/>
        <item x="107"/>
        <item x="108"/>
        <item x="110"/>
        <item x="111"/>
        <item x="113"/>
        <item x="114"/>
        <item x="115"/>
        <item x="116"/>
        <item x="118"/>
        <item x="119"/>
        <item x="120"/>
        <item x="121"/>
        <item x="122"/>
        <item x="123"/>
        <item x="124"/>
        <item x="125"/>
        <item x="127"/>
        <item x="128"/>
        <item x="129"/>
        <item x="130"/>
        <item x="131"/>
        <item x="133"/>
        <item x="134"/>
        <item x="135"/>
        <item x="136"/>
        <item x="137"/>
        <item x="138"/>
        <item x="140"/>
        <item x="141"/>
        <item x="145"/>
        <item x="146"/>
        <item x="148"/>
        <item x="149"/>
        <item x="150"/>
        <item x="151"/>
        <item x="152"/>
        <item x="153"/>
        <item x="154"/>
        <item x="157"/>
        <item x="158"/>
        <item x="159"/>
        <item x="160"/>
        <item x="162"/>
        <item x="163"/>
        <item x="1"/>
        <item x="17"/>
        <item x="26"/>
        <item x="27"/>
        <item x="30"/>
        <item x="35"/>
        <item x="38"/>
        <item x="41"/>
        <item x="42"/>
        <item x="44"/>
        <item x="47"/>
        <item x="56"/>
        <item x="58"/>
        <item x="63"/>
        <item x="71"/>
        <item x="75"/>
        <item x="76"/>
        <item x="82"/>
        <item x="90"/>
        <item x="92"/>
        <item x="93"/>
        <item x="100"/>
        <item x="104"/>
        <item x="109"/>
        <item x="112"/>
        <item x="117"/>
        <item x="126"/>
        <item x="132"/>
        <item x="139"/>
        <item x="142"/>
        <item x="143"/>
        <item x="144"/>
        <item x="147"/>
        <item x="155"/>
        <item x="156"/>
        <item x="161"/>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showAll="0">
      <items count="5">
        <item x="0"/>
        <item x="3"/>
        <item x="2"/>
        <item x="1"/>
        <item t="default"/>
      </items>
    </pivotField>
    <pivotField showAll="0"/>
    <pivotField numFmtId="3" showAll="0"/>
    <pivotField numFmtId="3" showAll="0"/>
    <pivotField showAll="0">
      <items count="7">
        <item x="4"/>
        <item x="5"/>
        <item x="2"/>
        <item x="3"/>
        <item x="0"/>
        <item x="1"/>
        <item t="default"/>
      </items>
    </pivotField>
    <pivotField numFmtId="3" showAll="0"/>
    <pivotField showAll="0"/>
    <pivotField showAll="0"/>
    <pivotField showAll="0"/>
    <pivotField numFmtId="165" showAll="0"/>
    <pivotField numFmtId="10"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9A00DB-FE90-4185-8D5F-4479C288EB9B}" name="PivotTable7" cacheId="1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J19:J32" firstHeaderRow="1" firstDataRow="1" firstDataCol="1"/>
  <pivotFields count="21">
    <pivotField numFmtId="164" showAll="0">
      <items count="251">
        <item x="0"/>
        <item x="2"/>
        <item x="3"/>
        <item x="4"/>
        <item x="5"/>
        <item x="6"/>
        <item x="7"/>
        <item x="8"/>
        <item x="9"/>
        <item x="10"/>
        <item x="11"/>
        <item x="12"/>
        <item x="13"/>
        <item x="14"/>
        <item x="15"/>
        <item x="16"/>
        <item x="18"/>
        <item x="19"/>
        <item x="20"/>
        <item x="21"/>
        <item x="22"/>
        <item x="23"/>
        <item x="24"/>
        <item x="25"/>
        <item x="28"/>
        <item x="29"/>
        <item x="31"/>
        <item x="32"/>
        <item x="33"/>
        <item x="34"/>
        <item x="36"/>
        <item x="37"/>
        <item x="39"/>
        <item x="40"/>
        <item x="43"/>
        <item x="45"/>
        <item x="46"/>
        <item x="48"/>
        <item x="49"/>
        <item x="50"/>
        <item x="51"/>
        <item x="52"/>
        <item x="53"/>
        <item x="54"/>
        <item x="55"/>
        <item x="57"/>
        <item x="59"/>
        <item x="60"/>
        <item x="61"/>
        <item x="62"/>
        <item x="64"/>
        <item x="65"/>
        <item x="66"/>
        <item x="67"/>
        <item x="68"/>
        <item x="69"/>
        <item x="70"/>
        <item x="72"/>
        <item x="73"/>
        <item x="74"/>
        <item x="77"/>
        <item x="78"/>
        <item x="79"/>
        <item x="80"/>
        <item x="81"/>
        <item x="83"/>
        <item x="84"/>
        <item x="85"/>
        <item x="86"/>
        <item x="87"/>
        <item x="88"/>
        <item x="89"/>
        <item x="91"/>
        <item x="94"/>
        <item x="95"/>
        <item x="96"/>
        <item x="97"/>
        <item x="98"/>
        <item x="99"/>
        <item x="101"/>
        <item x="102"/>
        <item x="103"/>
        <item x="105"/>
        <item x="106"/>
        <item x="107"/>
        <item x="108"/>
        <item x="110"/>
        <item x="111"/>
        <item x="113"/>
        <item x="114"/>
        <item x="115"/>
        <item x="116"/>
        <item x="118"/>
        <item x="119"/>
        <item x="120"/>
        <item x="121"/>
        <item x="122"/>
        <item x="123"/>
        <item x="124"/>
        <item x="125"/>
        <item x="127"/>
        <item x="128"/>
        <item x="129"/>
        <item x="130"/>
        <item x="131"/>
        <item x="133"/>
        <item x="134"/>
        <item x="135"/>
        <item x="136"/>
        <item x="137"/>
        <item x="138"/>
        <item x="140"/>
        <item x="141"/>
        <item x="145"/>
        <item x="146"/>
        <item x="148"/>
        <item x="149"/>
        <item x="150"/>
        <item x="151"/>
        <item x="152"/>
        <item x="153"/>
        <item x="154"/>
        <item x="157"/>
        <item x="158"/>
        <item x="159"/>
        <item x="160"/>
        <item x="162"/>
        <item x="163"/>
        <item x="1"/>
        <item x="17"/>
        <item x="26"/>
        <item x="27"/>
        <item x="30"/>
        <item x="35"/>
        <item x="38"/>
        <item x="41"/>
        <item x="42"/>
        <item x="44"/>
        <item x="47"/>
        <item x="56"/>
        <item x="58"/>
        <item x="63"/>
        <item x="71"/>
        <item x="75"/>
        <item x="76"/>
        <item x="82"/>
        <item x="90"/>
        <item x="92"/>
        <item x="93"/>
        <item x="100"/>
        <item x="104"/>
        <item x="109"/>
        <item x="112"/>
        <item x="117"/>
        <item x="126"/>
        <item x="132"/>
        <item x="139"/>
        <item x="142"/>
        <item x="143"/>
        <item x="144"/>
        <item x="147"/>
        <item x="155"/>
        <item x="156"/>
        <item x="161"/>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showAll="0">
      <items count="5">
        <item x="0"/>
        <item x="3"/>
        <item x="2"/>
        <item x="1"/>
        <item t="default"/>
      </items>
    </pivotField>
    <pivotField showAll="0"/>
    <pivotField numFmtId="3" showAll="0"/>
    <pivotField numFmtId="3" showAll="0"/>
    <pivotField axis="axisRow" showAll="0">
      <items count="7">
        <item x="4"/>
        <item x="5"/>
        <item x="2"/>
        <item x="3"/>
        <item x="0"/>
        <item x="1"/>
        <item t="default"/>
      </items>
    </pivotField>
    <pivotField numFmtId="3" showAll="0"/>
    <pivotField axis="axisRow" showAll="0">
      <items count="7">
        <item x="1"/>
        <item x="4"/>
        <item x="0"/>
        <item x="5"/>
        <item x="3"/>
        <item x="2"/>
        <item t="default"/>
      </items>
    </pivotField>
    <pivotField showAll="0"/>
    <pivotField showAll="0"/>
    <pivotField numFmtId="165" showAll="0"/>
    <pivotField numFmtId="10"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7"/>
    <field x="9"/>
  </rowFields>
  <rowItems count="13">
    <i>
      <x/>
    </i>
    <i r="1">
      <x v="1"/>
    </i>
    <i>
      <x v="1"/>
    </i>
    <i r="1">
      <x v="3"/>
    </i>
    <i>
      <x v="2"/>
    </i>
    <i r="1">
      <x v="5"/>
    </i>
    <i>
      <x v="3"/>
    </i>
    <i r="1">
      <x v="4"/>
    </i>
    <i>
      <x v="4"/>
    </i>
    <i r="1">
      <x v="2"/>
    </i>
    <i>
      <x v="5"/>
    </i>
    <i r="1">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A8BB35-67C2-40EE-A370-2B4296D57360}" name="PivotTable3" cacheId="1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6">
  <location ref="A1:D18" firstHeaderRow="0" firstDataRow="1" firstDataCol="1"/>
  <pivotFields count="21">
    <pivotField numFmtId="164" showAll="0">
      <items count="251">
        <item x="0"/>
        <item x="2"/>
        <item x="3"/>
        <item x="4"/>
        <item x="5"/>
        <item x="6"/>
        <item x="7"/>
        <item x="8"/>
        <item x="9"/>
        <item x="10"/>
        <item x="11"/>
        <item x="12"/>
        <item x="13"/>
        <item x="14"/>
        <item x="15"/>
        <item x="16"/>
        <item x="18"/>
        <item x="19"/>
        <item x="20"/>
        <item x="21"/>
        <item x="22"/>
        <item x="23"/>
        <item x="24"/>
        <item x="25"/>
        <item x="28"/>
        <item x="29"/>
        <item x="31"/>
        <item x="32"/>
        <item x="33"/>
        <item x="34"/>
        <item x="36"/>
        <item x="37"/>
        <item x="39"/>
        <item x="40"/>
        <item x="43"/>
        <item x="45"/>
        <item x="46"/>
        <item x="48"/>
        <item x="49"/>
        <item x="50"/>
        <item x="51"/>
        <item x="52"/>
        <item x="53"/>
        <item x="54"/>
        <item x="55"/>
        <item x="57"/>
        <item x="59"/>
        <item x="60"/>
        <item x="61"/>
        <item x="62"/>
        <item x="64"/>
        <item x="65"/>
        <item x="66"/>
        <item x="67"/>
        <item x="68"/>
        <item x="69"/>
        <item x="70"/>
        <item x="72"/>
        <item x="73"/>
        <item x="74"/>
        <item x="77"/>
        <item x="78"/>
        <item x="79"/>
        <item x="80"/>
        <item x="81"/>
        <item x="83"/>
        <item x="84"/>
        <item x="85"/>
        <item x="86"/>
        <item x="87"/>
        <item x="88"/>
        <item x="89"/>
        <item x="91"/>
        <item x="94"/>
        <item x="95"/>
        <item x="96"/>
        <item x="97"/>
        <item x="98"/>
        <item x="99"/>
        <item x="101"/>
        <item x="102"/>
        <item x="103"/>
        <item x="105"/>
        <item x="106"/>
        <item x="107"/>
        <item x="108"/>
        <item x="110"/>
        <item x="111"/>
        <item x="113"/>
        <item x="114"/>
        <item x="115"/>
        <item x="116"/>
        <item x="118"/>
        <item x="119"/>
        <item x="120"/>
        <item x="121"/>
        <item x="122"/>
        <item x="123"/>
        <item x="124"/>
        <item x="125"/>
        <item x="127"/>
        <item x="128"/>
        <item x="129"/>
        <item x="130"/>
        <item x="131"/>
        <item x="133"/>
        <item x="134"/>
        <item x="135"/>
        <item x="136"/>
        <item x="137"/>
        <item x="138"/>
        <item x="140"/>
        <item x="141"/>
        <item x="145"/>
        <item x="146"/>
        <item x="148"/>
        <item x="149"/>
        <item x="150"/>
        <item x="151"/>
        <item x="152"/>
        <item x="153"/>
        <item x="154"/>
        <item x="157"/>
        <item x="158"/>
        <item x="159"/>
        <item x="160"/>
        <item x="162"/>
        <item x="163"/>
        <item x="1"/>
        <item x="17"/>
        <item x="26"/>
        <item x="27"/>
        <item x="30"/>
        <item x="35"/>
        <item x="38"/>
        <item x="41"/>
        <item x="42"/>
        <item x="44"/>
        <item x="47"/>
        <item x="56"/>
        <item x="58"/>
        <item x="63"/>
        <item x="71"/>
        <item x="75"/>
        <item x="76"/>
        <item x="82"/>
        <item x="90"/>
        <item x="92"/>
        <item x="93"/>
        <item x="100"/>
        <item x="104"/>
        <item x="109"/>
        <item x="112"/>
        <item x="117"/>
        <item x="126"/>
        <item x="132"/>
        <item x="139"/>
        <item x="142"/>
        <item x="143"/>
        <item x="144"/>
        <item x="147"/>
        <item x="155"/>
        <item x="156"/>
        <item x="161"/>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axis="axisRow" showAll="0">
      <items count="5">
        <item x="0"/>
        <item x="3"/>
        <item x="2"/>
        <item x="1"/>
        <item t="default"/>
      </items>
    </pivotField>
    <pivotField axis="axisRow" showAll="0">
      <items count="4">
        <item x="2"/>
        <item x="0"/>
        <item x="1"/>
        <item t="default"/>
      </items>
    </pivotField>
    <pivotField dataField="1" numFmtId="3" showAll="0"/>
    <pivotField dataField="1" numFmtId="3" showAll="0"/>
    <pivotField showAll="0">
      <items count="7">
        <item x="4"/>
        <item x="5"/>
        <item x="2"/>
        <item x="3"/>
        <item x="0"/>
        <item x="1"/>
        <item t="default"/>
      </items>
    </pivotField>
    <pivotField numFmtId="3" showAll="0"/>
    <pivotField showAll="0"/>
    <pivotField showAll="0"/>
    <pivotField showAll="0"/>
    <pivotField numFmtId="165"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17">
    <i>
      <x/>
    </i>
    <i r="1">
      <x/>
    </i>
    <i r="1">
      <x v="1"/>
    </i>
    <i r="1">
      <x v="2"/>
    </i>
    <i>
      <x v="1"/>
    </i>
    <i r="1">
      <x/>
    </i>
    <i r="1">
      <x v="1"/>
    </i>
    <i r="1">
      <x v="2"/>
    </i>
    <i>
      <x v="2"/>
    </i>
    <i r="1">
      <x/>
    </i>
    <i r="1">
      <x v="1"/>
    </i>
    <i r="1">
      <x v="2"/>
    </i>
    <i>
      <x v="3"/>
    </i>
    <i r="1">
      <x/>
    </i>
    <i r="1">
      <x v="1"/>
    </i>
    <i r="1">
      <x v="2"/>
    </i>
    <i t="grand">
      <x/>
    </i>
  </rowItems>
  <colFields count="1">
    <field x="-2"/>
  </colFields>
  <colItems count="3">
    <i>
      <x/>
    </i>
    <i i="1">
      <x v="1"/>
    </i>
    <i i="2">
      <x v="2"/>
    </i>
  </colItems>
  <dataFields count="3">
    <dataField name="Total Target (Pairs)" fld="5" baseField="1" baseItem="0" numFmtId="3"/>
    <dataField name="Total Actual (Pairs)" fld="6" baseField="1" baseItem="0" numFmtId="3"/>
    <dataField name="Sum of Target %" fld="17" baseField="0" baseItem="0" numFmtId="165"/>
  </dataFields>
  <formats count="3">
    <format dxfId="209">
      <pivotArea collapsedLevelsAreSubtotals="1" fieldPosition="0">
        <references count="2">
          <reference field="4294967294" count="1" selected="0">
            <x v="2"/>
          </reference>
          <reference field="3" count="1">
            <x v="0"/>
          </reference>
        </references>
      </pivotArea>
    </format>
    <format dxfId="208">
      <pivotArea collapsedLevelsAreSubtotals="1" fieldPosition="0">
        <references count="3">
          <reference field="4294967294" count="1" selected="0">
            <x v="2"/>
          </reference>
          <reference field="3" count="1" selected="0">
            <x v="0"/>
          </reference>
          <reference field="4" count="1">
            <x v="0"/>
          </reference>
        </references>
      </pivotArea>
    </format>
    <format dxfId="207">
      <pivotArea outline="0" collapsedLevelsAreSubtotals="1" fieldPosition="0">
        <references count="1">
          <reference field="4294967294" count="1" selected="0">
            <x v="2"/>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3">
          <reference field="4294967294" count="1" selected="0">
            <x v="0"/>
          </reference>
          <reference field="3" count="1" selected="0">
            <x v="0"/>
          </reference>
          <reference field="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D5A59E-A6B2-4B70-8EBB-E95CE08E8A60}" name="PivotTable4"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A22:B28" firstHeaderRow="1" firstDataRow="1" firstDataCol="1"/>
  <pivotFields count="21">
    <pivotField numFmtId="164" showAll="0">
      <items count="251">
        <item x="0"/>
        <item x="2"/>
        <item x="3"/>
        <item x="4"/>
        <item x="5"/>
        <item x="6"/>
        <item x="7"/>
        <item x="8"/>
        <item x="9"/>
        <item x="10"/>
        <item x="11"/>
        <item x="12"/>
        <item x="13"/>
        <item x="14"/>
        <item x="15"/>
        <item x="16"/>
        <item x="18"/>
        <item x="19"/>
        <item x="20"/>
        <item x="21"/>
        <item x="22"/>
        <item x="23"/>
        <item x="24"/>
        <item x="25"/>
        <item x="28"/>
        <item x="29"/>
        <item x="31"/>
        <item x="32"/>
        <item x="33"/>
        <item x="34"/>
        <item x="36"/>
        <item x="37"/>
        <item x="39"/>
        <item x="40"/>
        <item x="43"/>
        <item x="45"/>
        <item x="46"/>
        <item x="48"/>
        <item x="49"/>
        <item x="50"/>
        <item x="51"/>
        <item x="52"/>
        <item x="53"/>
        <item x="54"/>
        <item x="55"/>
        <item x="57"/>
        <item x="59"/>
        <item x="60"/>
        <item x="61"/>
        <item x="62"/>
        <item x="64"/>
        <item x="65"/>
        <item x="66"/>
        <item x="67"/>
        <item x="68"/>
        <item x="69"/>
        <item x="70"/>
        <item x="72"/>
        <item x="73"/>
        <item x="74"/>
        <item x="77"/>
        <item x="78"/>
        <item x="79"/>
        <item x="80"/>
        <item x="81"/>
        <item x="83"/>
        <item x="84"/>
        <item x="85"/>
        <item x="86"/>
        <item x="87"/>
        <item x="88"/>
        <item x="89"/>
        <item x="91"/>
        <item x="94"/>
        <item x="95"/>
        <item x="96"/>
        <item x="97"/>
        <item x="98"/>
        <item x="99"/>
        <item x="101"/>
        <item x="102"/>
        <item x="103"/>
        <item x="105"/>
        <item x="106"/>
        <item x="107"/>
        <item x="108"/>
        <item x="110"/>
        <item x="111"/>
        <item x="113"/>
        <item x="114"/>
        <item x="115"/>
        <item x="116"/>
        <item x="118"/>
        <item x="119"/>
        <item x="120"/>
        <item x="121"/>
        <item x="122"/>
        <item x="123"/>
        <item x="124"/>
        <item x="125"/>
        <item x="127"/>
        <item x="128"/>
        <item x="129"/>
        <item x="130"/>
        <item x="131"/>
        <item x="133"/>
        <item x="134"/>
        <item x="135"/>
        <item x="136"/>
        <item x="137"/>
        <item x="138"/>
        <item x="140"/>
        <item x="141"/>
        <item x="145"/>
        <item x="146"/>
        <item x="148"/>
        <item x="149"/>
        <item x="150"/>
        <item x="151"/>
        <item x="152"/>
        <item x="153"/>
        <item x="154"/>
        <item x="157"/>
        <item x="158"/>
        <item x="159"/>
        <item x="160"/>
        <item x="162"/>
        <item x="163"/>
        <item x="1"/>
        <item x="17"/>
        <item x="26"/>
        <item x="27"/>
        <item x="30"/>
        <item x="35"/>
        <item x="38"/>
        <item x="41"/>
        <item x="42"/>
        <item x="44"/>
        <item x="47"/>
        <item x="56"/>
        <item x="58"/>
        <item x="63"/>
        <item x="71"/>
        <item x="75"/>
        <item x="76"/>
        <item x="82"/>
        <item x="90"/>
        <item x="92"/>
        <item x="93"/>
        <item x="100"/>
        <item x="104"/>
        <item x="109"/>
        <item x="112"/>
        <item x="117"/>
        <item x="126"/>
        <item x="132"/>
        <item x="139"/>
        <item x="142"/>
        <item x="143"/>
        <item x="144"/>
        <item x="147"/>
        <item x="155"/>
        <item x="156"/>
        <item x="161"/>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showAll="0">
      <items count="5">
        <item x="0"/>
        <item x="3"/>
        <item x="2"/>
        <item x="1"/>
        <item t="default"/>
      </items>
    </pivotField>
    <pivotField showAll="0"/>
    <pivotField numFmtId="3" showAll="0"/>
    <pivotField numFmtId="3" showAll="0"/>
    <pivotField axis="axisRow" showAll="0" sortType="descending">
      <items count="7">
        <item x="4"/>
        <item x="5"/>
        <item x="2"/>
        <item x="3"/>
        <item x="0"/>
        <item x="1"/>
        <item t="default"/>
      </items>
      <autoSortScope>
        <pivotArea dataOnly="0" outline="0" fieldPosition="0">
          <references count="1">
            <reference field="4294967294" count="1" selected="0">
              <x v="0"/>
            </reference>
          </references>
        </pivotArea>
      </autoSortScope>
    </pivotField>
    <pivotField dataField="1" numFmtId="3" showAll="0"/>
    <pivotField showAll="0"/>
    <pivotField showAll="0"/>
    <pivotField showAll="0"/>
    <pivotField numFmtId="165" showAll="0"/>
    <pivotField numFmtId="10"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v="4"/>
    </i>
    <i>
      <x/>
    </i>
    <i>
      <x v="3"/>
    </i>
    <i>
      <x v="2"/>
    </i>
    <i>
      <x v="1"/>
    </i>
    <i>
      <x v="5"/>
    </i>
  </rowItems>
  <colItems count="1">
    <i/>
  </colItems>
  <dataFields count="1">
    <dataField name="Sum of Defect Qty (Pairs)" fld="8" baseField="0" baseItem="0" numFmtId="3"/>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4"/>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7" count="1" selected="0">
            <x v="4"/>
          </reference>
        </references>
      </pivotArea>
    </chartFormat>
    <chartFormat chart="6" format="16">
      <pivotArea type="data" outline="0" fieldPosition="0">
        <references count="2">
          <reference field="4294967294" count="1" selected="0">
            <x v="0"/>
          </reference>
          <reference field="7" count="1" selected="0">
            <x v="0"/>
          </reference>
        </references>
      </pivotArea>
    </chartFormat>
    <chartFormat chart="6" format="17">
      <pivotArea type="data" outline="0" fieldPosition="0">
        <references count="2">
          <reference field="4294967294" count="1" selected="0">
            <x v="0"/>
          </reference>
          <reference field="7" count="1" selected="0">
            <x v="2"/>
          </reference>
        </references>
      </pivotArea>
    </chartFormat>
    <chartFormat chart="6" format="18">
      <pivotArea type="data" outline="0" fieldPosition="0">
        <references count="2">
          <reference field="4294967294" count="1" selected="0">
            <x v="0"/>
          </reference>
          <reference field="7" count="1" selected="0">
            <x v="3"/>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FE935F-3BB9-4C83-BDB5-72A9BD2DC590}" name="PivotTable2" cacheId="1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K8" firstHeaderRow="1" firstDataRow="1" firstDataCol="1"/>
  <pivotFields count="21">
    <pivotField numFmtId="14"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showAll="0">
      <items count="5">
        <item x="0"/>
        <item x="3"/>
        <item x="2"/>
        <item x="1"/>
        <item t="default"/>
      </items>
    </pivotField>
    <pivotField showAll="0"/>
    <pivotField dataField="1" numFmtId="3" showAll="0"/>
    <pivotField dataField="1" numFmtId="3" showAll="0"/>
    <pivotField showAll="0">
      <items count="7">
        <item x="4"/>
        <item x="5"/>
        <item x="2"/>
        <item x="3"/>
        <item x="0"/>
        <item x="1"/>
        <item t="default"/>
      </items>
    </pivotField>
    <pivotField dataField="1" numFmtId="3" showAll="0"/>
    <pivotField showAll="0"/>
    <pivotField showAll="0"/>
    <pivotField showAll="0"/>
    <pivotField dataField="1" numFmtId="165" showAll="0"/>
    <pivotField dataField="1" numFmtId="10"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i="1">
      <x v="1"/>
    </i>
    <i i="2">
      <x v="2"/>
    </i>
    <i i="3">
      <x v="3"/>
    </i>
    <i i="4">
      <x v="4"/>
    </i>
  </rowItems>
  <colItems count="1">
    <i/>
  </colItems>
  <dataFields count="5">
    <dataField name="Sum of Target Output (Pairs)" fld="5" baseField="0" baseItem="0" numFmtId="3"/>
    <dataField name="Sum of Actual Output (Pairs)" fld="6" baseField="0" baseItem="0" numFmtId="3"/>
    <dataField name="Sum of Defect Qty (Pairs)" fld="8" baseField="0" baseItem="0" numFmtId="3"/>
    <dataField name="Average of % Achievement KPI" fld="12" subtotal="average" baseField="0" baseItem="0" numFmtId="165"/>
    <dataField name="Average of Defect Rate (%)" fld="13" subtotal="average" baseField="0" baseItem="0" numFmtId="10"/>
  </dataFields>
  <formats count="2">
    <format dxfId="201">
      <pivotArea collapsedLevelsAreSubtotals="1" fieldPosition="0">
        <references count="1">
          <reference field="4294967294" count="1">
            <x v="0"/>
          </reference>
        </references>
      </pivotArea>
    </format>
    <format dxfId="200">
      <pivotArea collapsedLevelsAreSubtotals="1"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4836D2-6EF1-4320-890E-2AE794CC3C18}" name="PivotTable8"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7:B44" firstHeaderRow="1" firstDataRow="1" firstDataCol="1"/>
  <pivotFields count="21">
    <pivotField numFmtId="164" showAll="0">
      <items count="251">
        <item x="0"/>
        <item x="2"/>
        <item x="3"/>
        <item x="4"/>
        <item x="5"/>
        <item x="6"/>
        <item x="7"/>
        <item x="8"/>
        <item x="9"/>
        <item x="10"/>
        <item x="11"/>
        <item x="12"/>
        <item x="13"/>
        <item x="14"/>
        <item x="15"/>
        <item x="16"/>
        <item x="18"/>
        <item x="19"/>
        <item x="20"/>
        <item x="21"/>
        <item x="22"/>
        <item x="23"/>
        <item x="24"/>
        <item x="25"/>
        <item x="28"/>
        <item x="29"/>
        <item x="31"/>
        <item x="32"/>
        <item x="33"/>
        <item x="34"/>
        <item x="36"/>
        <item x="37"/>
        <item x="39"/>
        <item x="40"/>
        <item x="43"/>
        <item x="45"/>
        <item x="46"/>
        <item x="48"/>
        <item x="49"/>
        <item x="50"/>
        <item x="51"/>
        <item x="52"/>
        <item x="53"/>
        <item x="54"/>
        <item x="55"/>
        <item x="57"/>
        <item x="59"/>
        <item x="60"/>
        <item x="61"/>
        <item x="62"/>
        <item x="64"/>
        <item x="65"/>
        <item x="66"/>
        <item x="67"/>
        <item x="68"/>
        <item x="69"/>
        <item x="70"/>
        <item x="72"/>
        <item x="73"/>
        <item x="74"/>
        <item x="77"/>
        <item x="78"/>
        <item x="79"/>
        <item x="80"/>
        <item x="81"/>
        <item x="83"/>
        <item x="84"/>
        <item x="85"/>
        <item x="86"/>
        <item x="87"/>
        <item x="88"/>
        <item x="89"/>
        <item x="91"/>
        <item x="94"/>
        <item x="95"/>
        <item x="96"/>
        <item x="97"/>
        <item x="98"/>
        <item x="99"/>
        <item x="101"/>
        <item x="102"/>
        <item x="103"/>
        <item x="105"/>
        <item x="106"/>
        <item x="107"/>
        <item x="108"/>
        <item x="110"/>
        <item x="111"/>
        <item x="113"/>
        <item x="114"/>
        <item x="115"/>
        <item x="116"/>
        <item x="118"/>
        <item x="119"/>
        <item x="120"/>
        <item x="121"/>
        <item x="122"/>
        <item x="123"/>
        <item x="124"/>
        <item x="125"/>
        <item x="127"/>
        <item x="128"/>
        <item x="129"/>
        <item x="130"/>
        <item x="131"/>
        <item x="133"/>
        <item x="134"/>
        <item x="135"/>
        <item x="136"/>
        <item x="137"/>
        <item x="138"/>
        <item x="140"/>
        <item x="141"/>
        <item x="145"/>
        <item x="146"/>
        <item x="148"/>
        <item x="149"/>
        <item x="150"/>
        <item x="151"/>
        <item x="152"/>
        <item x="153"/>
        <item x="154"/>
        <item x="157"/>
        <item x="158"/>
        <item x="159"/>
        <item x="160"/>
        <item x="162"/>
        <item x="163"/>
        <item x="1"/>
        <item x="17"/>
        <item x="26"/>
        <item x="27"/>
        <item x="30"/>
        <item x="35"/>
        <item x="38"/>
        <item x="41"/>
        <item x="42"/>
        <item x="44"/>
        <item x="47"/>
        <item x="56"/>
        <item x="58"/>
        <item x="63"/>
        <item x="71"/>
        <item x="75"/>
        <item x="76"/>
        <item x="82"/>
        <item x="90"/>
        <item x="92"/>
        <item x="93"/>
        <item x="100"/>
        <item x="104"/>
        <item x="109"/>
        <item x="112"/>
        <item x="117"/>
        <item x="126"/>
        <item x="132"/>
        <item x="139"/>
        <item x="142"/>
        <item x="143"/>
        <item x="144"/>
        <item x="147"/>
        <item x="155"/>
        <item x="156"/>
        <item x="161"/>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showAll="0">
      <items count="5">
        <item x="0"/>
        <item x="3"/>
        <item x="2"/>
        <item x="1"/>
        <item t="default"/>
      </items>
    </pivotField>
    <pivotField showAll="0"/>
    <pivotField numFmtId="3" showAll="0"/>
    <pivotField dataField="1" numFmtId="3" showAll="0"/>
    <pivotField showAll="0">
      <items count="7">
        <item x="4"/>
        <item x="5"/>
        <item x="2"/>
        <item x="3"/>
        <item x="0"/>
        <item x="1"/>
        <item t="default"/>
      </items>
    </pivotField>
    <pivotField numFmtId="3" showAll="0"/>
    <pivotField showAll="0"/>
    <pivotField showAll="0"/>
    <pivotField showAll="0"/>
    <pivotField numFmtId="165" showAll="0"/>
    <pivotField numFmtId="10"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7">
    <i>
      <x v="1"/>
    </i>
    <i>
      <x v="2"/>
    </i>
    <i>
      <x v="3"/>
    </i>
    <i>
      <x v="4"/>
    </i>
    <i>
      <x v="5"/>
    </i>
    <i>
      <x v="6"/>
    </i>
    <i t="grand">
      <x/>
    </i>
  </rowItems>
  <colItems count="1">
    <i/>
  </colItems>
  <dataFields count="1">
    <dataField name="Sum of Actual Output (Pairs)" fld="6" baseField="0" baseItem="0" numFmtId="3"/>
  </dataField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5" count="1" selected="0">
            <x v="6"/>
          </reference>
        </references>
      </pivotArea>
    </chartFormat>
    <chartFormat chart="5" format="4">
      <pivotArea type="data" outline="0" fieldPosition="0">
        <references count="2">
          <reference field="4294967294" count="1" selected="0">
            <x v="0"/>
          </reference>
          <reference field="15" count="1" selected="0">
            <x v="5"/>
          </reference>
        </references>
      </pivotArea>
    </chartFormat>
    <chartFormat chart="5" format="5">
      <pivotArea type="data" outline="0" fieldPosition="0">
        <references count="2">
          <reference field="4294967294" count="1" selected="0">
            <x v="0"/>
          </reference>
          <reference field="15" count="1" selected="0">
            <x v="2"/>
          </reference>
        </references>
      </pivotArea>
    </chartFormat>
    <chartFormat chart="5" format="6">
      <pivotArea type="data" outline="0" fieldPosition="0">
        <references count="2">
          <reference field="4294967294" count="1" selected="0">
            <x v="0"/>
          </reference>
          <reference field="15" count="1" selected="0">
            <x v="1"/>
          </reference>
        </references>
      </pivotArea>
    </chartFormat>
    <chartFormat chart="5" format="7">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522310-D3B6-40B7-9A84-575E275BD2BD}" name="PivotTable6"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G22:H27" firstHeaderRow="1" firstDataRow="1" firstDataCol="1"/>
  <pivotFields count="21">
    <pivotField numFmtId="164" showAll="0">
      <items count="251">
        <item x="0"/>
        <item x="2"/>
        <item x="3"/>
        <item x="4"/>
        <item x="5"/>
        <item x="6"/>
        <item x="7"/>
        <item x="8"/>
        <item x="9"/>
        <item x="10"/>
        <item x="11"/>
        <item x="12"/>
        <item x="13"/>
        <item x="14"/>
        <item x="15"/>
        <item x="16"/>
        <item x="18"/>
        <item x="19"/>
        <item x="20"/>
        <item x="21"/>
        <item x="22"/>
        <item x="23"/>
        <item x="24"/>
        <item x="25"/>
        <item x="28"/>
        <item x="29"/>
        <item x="31"/>
        <item x="32"/>
        <item x="33"/>
        <item x="34"/>
        <item x="36"/>
        <item x="37"/>
        <item x="39"/>
        <item x="40"/>
        <item x="43"/>
        <item x="45"/>
        <item x="46"/>
        <item x="48"/>
        <item x="49"/>
        <item x="50"/>
        <item x="51"/>
        <item x="52"/>
        <item x="53"/>
        <item x="54"/>
        <item x="55"/>
        <item x="57"/>
        <item x="59"/>
        <item x="60"/>
        <item x="61"/>
        <item x="62"/>
        <item x="64"/>
        <item x="65"/>
        <item x="66"/>
        <item x="67"/>
        <item x="68"/>
        <item x="69"/>
        <item x="70"/>
        <item x="72"/>
        <item x="73"/>
        <item x="74"/>
        <item x="77"/>
        <item x="78"/>
        <item x="79"/>
        <item x="80"/>
        <item x="81"/>
        <item x="83"/>
        <item x="84"/>
        <item x="85"/>
        <item x="86"/>
        <item x="87"/>
        <item x="88"/>
        <item x="89"/>
        <item x="91"/>
        <item x="94"/>
        <item x="95"/>
        <item x="96"/>
        <item x="97"/>
        <item x="98"/>
        <item x="99"/>
        <item x="101"/>
        <item x="102"/>
        <item x="103"/>
        <item x="105"/>
        <item x="106"/>
        <item x="107"/>
        <item x="108"/>
        <item x="110"/>
        <item x="111"/>
        <item x="113"/>
        <item x="114"/>
        <item x="115"/>
        <item x="116"/>
        <item x="118"/>
        <item x="119"/>
        <item x="120"/>
        <item x="121"/>
        <item x="122"/>
        <item x="123"/>
        <item x="124"/>
        <item x="125"/>
        <item x="127"/>
        <item x="128"/>
        <item x="129"/>
        <item x="130"/>
        <item x="131"/>
        <item x="133"/>
        <item x="134"/>
        <item x="135"/>
        <item x="136"/>
        <item x="137"/>
        <item x="138"/>
        <item x="140"/>
        <item x="141"/>
        <item x="145"/>
        <item x="146"/>
        <item x="148"/>
        <item x="149"/>
        <item x="150"/>
        <item x="151"/>
        <item x="152"/>
        <item x="153"/>
        <item x="154"/>
        <item x="157"/>
        <item x="158"/>
        <item x="159"/>
        <item x="160"/>
        <item x="162"/>
        <item x="163"/>
        <item x="1"/>
        <item x="17"/>
        <item x="26"/>
        <item x="27"/>
        <item x="30"/>
        <item x="35"/>
        <item x="38"/>
        <item x="41"/>
        <item x="42"/>
        <item x="44"/>
        <item x="47"/>
        <item x="56"/>
        <item x="58"/>
        <item x="63"/>
        <item x="71"/>
        <item x="75"/>
        <item x="76"/>
        <item x="82"/>
        <item x="90"/>
        <item x="92"/>
        <item x="93"/>
        <item x="100"/>
        <item x="104"/>
        <item x="109"/>
        <item x="112"/>
        <item x="117"/>
        <item x="126"/>
        <item x="132"/>
        <item x="139"/>
        <item x="142"/>
        <item x="143"/>
        <item x="144"/>
        <item x="147"/>
        <item x="155"/>
        <item x="156"/>
        <item x="161"/>
        <item x="164"/>
        <item x="165"/>
        <item x="166"/>
        <item x="167"/>
        <item x="168"/>
        <item x="169"/>
        <item x="170"/>
        <item x="171"/>
        <item x="172"/>
        <item x="173"/>
        <item x="174"/>
        <item x="175"/>
        <item x="176"/>
        <item x="177"/>
        <item x="178"/>
        <item x="179"/>
        <item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t="default"/>
      </items>
    </pivotField>
    <pivotField showAll="0"/>
    <pivotField showAll="0"/>
    <pivotField showAll="0">
      <items count="5">
        <item x="0"/>
        <item x="3"/>
        <item x="2"/>
        <item x="1"/>
        <item t="default"/>
      </items>
    </pivotField>
    <pivotField showAll="0"/>
    <pivotField numFmtId="3" showAll="0"/>
    <pivotField numFmtId="3" showAll="0"/>
    <pivotField showAll="0">
      <items count="7">
        <item x="4"/>
        <item x="5"/>
        <item x="2"/>
        <item x="3"/>
        <item x="0"/>
        <item x="1"/>
        <item t="default"/>
      </items>
    </pivotField>
    <pivotField numFmtId="3" showAll="0"/>
    <pivotField showAll="0"/>
    <pivotField axis="axisRow" showAll="0">
      <items count="5">
        <item x="0"/>
        <item x="3"/>
        <item x="1"/>
        <item x="2"/>
        <item t="default"/>
      </items>
    </pivotField>
    <pivotField dataField="1" showAll="0"/>
    <pivotField numFmtId="165" showAll="0"/>
    <pivotField numFmtId="10"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0"/>
  </rowFields>
  <rowItems count="5">
    <i>
      <x/>
    </i>
    <i>
      <x v="1"/>
    </i>
    <i>
      <x v="2"/>
    </i>
    <i>
      <x v="3"/>
    </i>
    <i t="grand">
      <x/>
    </i>
  </rowItems>
  <colItems count="1">
    <i/>
  </colItems>
  <dataFields count="1">
    <dataField name="Count of Action Status" fld="11" subtotal="count" baseField="0" baseItem="0"/>
  </dataFields>
  <chartFormats count="10">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0" count="1" selected="0">
            <x v="0"/>
          </reference>
        </references>
      </pivotArea>
    </chartFormat>
    <chartFormat chart="6" format="8">
      <pivotArea type="data" outline="0" fieldPosition="0">
        <references count="2">
          <reference field="4294967294" count="1" selected="0">
            <x v="0"/>
          </reference>
          <reference field="10" count="1" selected="0">
            <x v="1"/>
          </reference>
        </references>
      </pivotArea>
    </chartFormat>
    <chartFormat chart="6" format="9">
      <pivotArea type="data" outline="0" fieldPosition="0">
        <references count="2">
          <reference field="4294967294" count="1" selected="0">
            <x v="0"/>
          </reference>
          <reference field="10" count="1" selected="0">
            <x v="2"/>
          </reference>
        </references>
      </pivotArea>
    </chartFormat>
    <chartFormat chart="6" format="10">
      <pivotArea type="data" outline="0" fieldPosition="0">
        <references count="2">
          <reference field="4294967294" count="1" selected="0">
            <x v="0"/>
          </reference>
          <reference field="10"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0" count="1" selected="0">
            <x v="0"/>
          </reference>
        </references>
      </pivotArea>
    </chartFormat>
    <chartFormat chart="14" format="12">
      <pivotArea type="data" outline="0" fieldPosition="0">
        <references count="2">
          <reference field="4294967294" count="1" selected="0">
            <x v="0"/>
          </reference>
          <reference field="10" count="1" selected="0">
            <x v="1"/>
          </reference>
        </references>
      </pivotArea>
    </chartFormat>
    <chartFormat chart="14" format="13">
      <pivotArea type="data" outline="0" fieldPosition="0">
        <references count="2">
          <reference field="4294967294" count="1" selected="0">
            <x v="0"/>
          </reference>
          <reference field="10" count="1" selected="0">
            <x v="2"/>
          </reference>
        </references>
      </pivotArea>
    </chartFormat>
    <chartFormat chart="14"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_Line" xr10:uid="{17C20805-9239-4D80-B557-7DA4D72C1D8F}" sourceName="Production Line">
  <pivotTables>
    <pivotTable tabId="3" name="PivotTable3"/>
    <pivotTable tabId="3" name="PivotTable8"/>
    <pivotTable tabId="3" name="PivotTable4"/>
    <pivotTable tabId="3" name="PivotTable9"/>
    <pivotTable tabId="3" name="PivotTable6"/>
    <pivotTable tabId="3" name="PivotTable5"/>
    <pivotTable tabId="3" name="PivotTable1"/>
    <pivotTable tabId="3" name="PivotTable2"/>
    <pivotTable tabId="3" name="PivotTable7"/>
    <pivotTable tabId="3" name="PivotTable10"/>
    <pivotTable tabId="3" name="PivotTable11"/>
    <pivotTable tabId="3" name="PivotTable12"/>
  </pivotTables>
  <data>
    <tabular pivotCacheId="1365260275">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Defect_Type" xr10:uid="{4ECCD4D6-1B29-47DA-BB69-7A0844860090}" sourceName="Primary Defect Type">
  <pivotTables>
    <pivotTable tabId="3" name="PivotTable10"/>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365260275">
      <items count="6">
        <i x="4" s="1"/>
        <i x="5" s="1"/>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on Line 3" xr10:uid="{C755875A-5921-40A7-9079-61FC96DBF8D3}" cache="Slicer_Production_Line" caption="Production Line" columnCount="2" style="SlicerStyleLight4" rowHeight="241300"/>
  <slicer name="Primary Defect Type 2" xr10:uid="{412FB737-119B-49D1-90A4-51AE10706CE6}" cache="Slicer_Primary_Defect_Type" caption="Primary Defect Type" columnCount="2"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87E48D-0BC5-41A5-95B9-7D7A9791075C}" name="Table3" displayName="Table3" ref="A3:L28" totalsRowShown="0">
  <autoFilter ref="A3:L28" xr:uid="{2887E48D-0BC5-41A5-95B9-7D7A9791075C}"/>
  <tableColumns count="12">
    <tableColumn id="1" xr3:uid="{E68E77C7-6CBD-4EB4-9BC0-407284D5A868}" name="Date" dataDxfId="213"/>
    <tableColumn id="2" xr3:uid="{8B8CA973-9711-476A-9E6A-8D3654A0462D}" name="Production Line"/>
    <tableColumn id="3" xr3:uid="{B2450C1A-E3E8-443E-85BC-BB15824296F0}" name="Shift"/>
    <tableColumn id="4" xr3:uid="{04027B57-B88A-49FD-9A9A-98BA529F201D}" name="Target Output (Pairs)"/>
    <tableColumn id="5" xr3:uid="{19E69739-1F8E-457F-85D3-9ED3C28DA85E}" name="Actual Output (Pairs)"/>
    <tableColumn id="6" xr3:uid="{14851AE6-3C22-4097-8CAB-386ECB58EC0F}" name="Primary Defect Type"/>
    <tableColumn id="7" xr3:uid="{65C96ABA-8874-4AC5-9092-7FB06FEDE060}" name="Defect Qty (Pairs)"/>
    <tableColumn id="8" xr3:uid="{739712A6-C6F3-49C7-B8D6-4B6ED562F9CF}" name="Root Cause Analysis"/>
    <tableColumn id="9" xr3:uid="{8BFB3DAA-6029-4C87-A65C-EE75EF6F3CE9}" name="Responsible Department"/>
    <tableColumn id="10" xr3:uid="{BAAAFD4E-0570-4FB3-9E64-B10E96FA826B}" name="Action Status"/>
    <tableColumn id="11" xr3:uid="{01F94D36-6D04-4A07-8D93-47255EF62E0A}" name="% Achievement KPI"/>
    <tableColumn id="12" xr3:uid="{4683268F-13FF-4C04-96A3-8A96F22A8FFC}" name="Defect Rate (%)"/>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43AD3E-1470-4BAE-AB5B-51BE9A1E5B50}" name="Table4" displayName="Table4" ref="A3:L60" totalsRowShown="0">
  <autoFilter ref="A3:L60" xr:uid="{FE43AD3E-1470-4BAE-AB5B-51BE9A1E5B50}"/>
  <tableColumns count="12">
    <tableColumn id="1" xr3:uid="{3465EA46-4EEA-4FC3-A460-94426BC110C1}" name="Date" dataDxfId="212"/>
    <tableColumn id="2" xr3:uid="{5277C8F6-B239-4D66-8288-EDA8FA39AFD6}" name="Production Line"/>
    <tableColumn id="3" xr3:uid="{C39AD90E-7EAE-4ADB-981D-097CC56DF86C}" name="Shift"/>
    <tableColumn id="4" xr3:uid="{737B458A-7D83-4D55-8FBA-FF69CE357DC9}" name="Target Output (Pairs)"/>
    <tableColumn id="5" xr3:uid="{5FA80AED-939E-41A9-B400-F158B5DB1A1C}" name="Actual Output (Pairs)"/>
    <tableColumn id="6" xr3:uid="{392D2B9C-A533-405C-AB5B-EE257D809B39}" name="Primary Defect Type"/>
    <tableColumn id="7" xr3:uid="{49370FCF-4072-4E7F-8121-978178AD1C81}" name="Defect Qty (Pairs)"/>
    <tableColumn id="8" xr3:uid="{204B2874-1EB5-4D98-9D0A-6C45D45B5972}" name="Root Cause Analysis"/>
    <tableColumn id="9" xr3:uid="{60A47910-C3DB-4C9A-B861-B9D34D8CFB55}" name="Responsible Department"/>
    <tableColumn id="10" xr3:uid="{54FF0632-D500-4691-A97B-BF29446D0C75}" name="Action Status"/>
    <tableColumn id="11" xr3:uid="{846C76E1-7F2C-4754-936B-5B1E85B8B282}" name="% Achievement KPI"/>
    <tableColumn id="12" xr3:uid="{B588D8A0-3D1D-4EB3-81B3-D7512A12A01E}" name="Defect Rate (%)"/>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076335-F954-4596-9418-56051E5B4344}" name="Table5" displayName="Table5" ref="A3:L60" totalsRowShown="0">
  <autoFilter ref="A3:L60" xr:uid="{71076335-F954-4596-9418-56051E5B4344}"/>
  <tableColumns count="12">
    <tableColumn id="1" xr3:uid="{BCAE8F76-FE7D-4B29-AC8F-A1DDE14195EF}" name="Date" dataDxfId="211"/>
    <tableColumn id="2" xr3:uid="{45DF5C76-8FC1-4045-8377-681461F12E70}" name="Production Line"/>
    <tableColumn id="3" xr3:uid="{5013FE7E-30D7-4C12-924C-F7EF08B0EFC9}" name="Shift"/>
    <tableColumn id="4" xr3:uid="{46B4AEF7-6AEB-411B-AFD8-85ED62BC23FC}" name="Target Output (Pairs)"/>
    <tableColumn id="5" xr3:uid="{61F2909E-E9A4-4AB6-BB62-E9DA3B8F7705}" name="Actual Output (Pairs)"/>
    <tableColumn id="6" xr3:uid="{8A3E2E0C-D758-483B-AF49-BA31A6B29BA7}" name="Primary Defect Type"/>
    <tableColumn id="7" xr3:uid="{DF1EFFDC-26B8-4E72-8C76-91B31D02114F}" name="Defect Qty (Pairs)"/>
    <tableColumn id="8" xr3:uid="{F23A13BA-C74F-427E-BAE1-C090E3D39113}" name="Root Cause Analysis"/>
    <tableColumn id="9" xr3:uid="{A65942AE-7172-41C5-A962-73ED78069843}" name="Responsible Department"/>
    <tableColumn id="10" xr3:uid="{EA6AFDBF-EF3E-4EBA-9766-266BA6C0D350}" name="Action Status"/>
    <tableColumn id="11" xr3:uid="{3D7120D9-69F4-49AF-AFB9-61742D528522}" name="% Achievement KPI"/>
    <tableColumn id="12" xr3:uid="{55B2A7DD-D568-4A87-AE65-2C2399910331}" name="Defect Rate (%)"/>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B4D2E7-1C8B-4217-80DF-E2FBAD16D39B}" name="Table1" displayName="Table1" ref="A3:N47" totalsRowShown="0">
  <autoFilter ref="A3:N47" xr:uid="{9FB4D2E7-1C8B-4217-80DF-E2FBAD16D39B}"/>
  <tableColumns count="14">
    <tableColumn id="1" xr3:uid="{D80320FF-1206-47CF-84A7-D96784A87DE3}" name="Date" dataDxfId="210"/>
    <tableColumn id="2" xr3:uid="{42849EFB-536A-42A2-B68B-A0B2881C302E}" name="Date (General)"/>
    <tableColumn id="3" xr3:uid="{1BBD8883-A976-4815-8E4D-67F9975690A8}" name=" Date (Tanggal)"/>
    <tableColumn id="4" xr3:uid="{F78C7B38-4602-40EA-9CCE-B3DA3EAA235D}" name="Production Line"/>
    <tableColumn id="5" xr3:uid="{1634B516-FCD6-455A-B7C6-CB5D5DE08E2E}" name="Shift"/>
    <tableColumn id="6" xr3:uid="{647E80B9-43F4-4933-AA6E-078401247F8A}" name="Target Output (Pairs)"/>
    <tableColumn id="7" xr3:uid="{D4F3883A-6B8C-4F43-8B52-16997B9CCB14}" name="Actual Output (Pairs)"/>
    <tableColumn id="8" xr3:uid="{7A23ECEF-DC0F-4A38-A030-0900E245DFED}" name="Primary Defect Type"/>
    <tableColumn id="9" xr3:uid="{4796D3C9-2FC2-4A41-B8BD-C322F369B413}" name="Defect Qty (Pairs)"/>
    <tableColumn id="10" xr3:uid="{E2031A20-05CC-4203-B224-4A7B3806522C}" name="Root Cause Analysis"/>
    <tableColumn id="11" xr3:uid="{FAD41A8F-33C5-43D9-9699-82D29A2C1812}" name="Responsible Department"/>
    <tableColumn id="12" xr3:uid="{05E1F95E-2E53-4EB6-8F91-F85A7D924AAB}" name="Action Status"/>
    <tableColumn id="13" xr3:uid="{811CC3E6-ADE6-4848-84A4-FC6E6CD1DB9F}" name="% Achievement KPI"/>
    <tableColumn id="14" xr3:uid="{92073FCA-FB4A-4FF9-8B2F-2ED1576E027E}" name="Defect Rate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3E14EC3-8004-4054-B3D6-567BF3530495}" sourceName="Date">
  <pivotTables>
    <pivotTable tabId="3" name="PivotTable8"/>
    <pivotTable tabId="3" name="PivotTable1"/>
    <pivotTable tabId="3" name="PivotTable10"/>
    <pivotTable tabId="3" name="PivotTable11"/>
    <pivotTable tabId="3" name="PivotTable12"/>
    <pivotTable tabId="3" name="PivotTable2"/>
    <pivotTable tabId="3" name="PivotTable3"/>
    <pivotTable tabId="3" name="PivotTable7"/>
    <pivotTable tabId="3" name="PivotTable9"/>
    <pivotTable tabId="3" name="PivotTable4"/>
    <pivotTable tabId="3" name="PivotTable5"/>
    <pivotTable tabId="3" name="PivotTable6"/>
  </pivotTables>
  <state minimalRefreshVersion="6" lastRefreshVersion="6" pivotCacheId="1365260275"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707E9F5-06A9-477F-8E79-72E302C51942}" cache="NativeTimeline_Date" caption="Date" level="2" selectionLevel="2" scrollPosition="2026-01-01T00:00:00" style="TimeSlicerStyleLight4"/>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election activeCell="B22" sqref="B22"/>
    </sheetView>
  </sheetViews>
  <sheetFormatPr defaultRowHeight="15" x14ac:dyDescent="0.25"/>
  <cols>
    <col min="1" max="1" width="35" customWidth="1"/>
    <col min="2" max="2" width="85" customWidth="1"/>
  </cols>
  <sheetData>
    <row r="1" spans="1:2" ht="25.5" x14ac:dyDescent="0.5">
      <c r="A1" s="1" t="s">
        <v>0</v>
      </c>
    </row>
    <row r="2" spans="1:2" ht="16.5" x14ac:dyDescent="0.3">
      <c r="A2" s="2" t="s">
        <v>1</v>
      </c>
    </row>
    <row r="5" spans="1:2" ht="16.5" x14ac:dyDescent="0.3">
      <c r="A5" s="3" t="s">
        <v>2</v>
      </c>
      <c r="B5" s="4" t="s">
        <v>3</v>
      </c>
    </row>
    <row r="6" spans="1:2" ht="16.5" x14ac:dyDescent="0.3">
      <c r="A6" s="3" t="s">
        <v>4</v>
      </c>
      <c r="B6" s="4"/>
    </row>
    <row r="7" spans="1:2" ht="16.5" x14ac:dyDescent="0.3">
      <c r="A7" s="3" t="s">
        <v>5</v>
      </c>
      <c r="B7" s="4" t="s">
        <v>6</v>
      </c>
    </row>
    <row r="8" spans="1:2" ht="16.5" x14ac:dyDescent="0.3">
      <c r="A8" s="3" t="s">
        <v>7</v>
      </c>
      <c r="B8" s="4" t="s">
        <v>8</v>
      </c>
    </row>
    <row r="9" spans="1:2" ht="16.5" x14ac:dyDescent="0.3">
      <c r="A9" s="3" t="s">
        <v>9</v>
      </c>
      <c r="B9" s="4" t="s">
        <v>10</v>
      </c>
    </row>
    <row r="10" spans="1:2" ht="16.5" x14ac:dyDescent="0.3">
      <c r="A10" s="3" t="s">
        <v>11</v>
      </c>
      <c r="B10" s="4" t="s">
        <v>12</v>
      </c>
    </row>
    <row r="11" spans="1:2" ht="16.5" x14ac:dyDescent="0.3">
      <c r="A11" s="3" t="s">
        <v>13</v>
      </c>
      <c r="B11" s="4" t="s">
        <v>14</v>
      </c>
    </row>
    <row r="12" spans="1:2" ht="16.5" x14ac:dyDescent="0.3">
      <c r="A12" s="3" t="s">
        <v>15</v>
      </c>
      <c r="B12" s="4" t="s">
        <v>16</v>
      </c>
    </row>
    <row r="14" spans="1:2" ht="16.5" x14ac:dyDescent="0.3">
      <c r="A14" s="3" t="s">
        <v>17</v>
      </c>
      <c r="B14" s="4"/>
    </row>
    <row r="15" spans="1:2" ht="17.25" x14ac:dyDescent="0.3">
      <c r="A15" s="5" t="s">
        <v>18</v>
      </c>
      <c r="B15" s="4" t="s">
        <v>19</v>
      </c>
    </row>
    <row r="16" spans="1:2" ht="17.25" x14ac:dyDescent="0.3">
      <c r="A16" s="5" t="s">
        <v>20</v>
      </c>
      <c r="B16" s="4" t="s">
        <v>21</v>
      </c>
    </row>
    <row r="17" spans="1:2" ht="17.25" x14ac:dyDescent="0.3">
      <c r="A17" s="5" t="s">
        <v>22</v>
      </c>
      <c r="B17" s="4" t="s">
        <v>23</v>
      </c>
    </row>
    <row r="18" spans="1:2" ht="17.25" x14ac:dyDescent="0.3">
      <c r="A18" s="5" t="s">
        <v>24</v>
      </c>
      <c r="B18" s="4"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2"/>
  <sheetViews>
    <sheetView topLeftCell="H1" workbookViewId="0">
      <pane ySplit="1" topLeftCell="A2" activePane="bottomLeft" state="frozen"/>
      <selection pane="bottomLeft" activeCell="I184" sqref="I184"/>
    </sheetView>
  </sheetViews>
  <sheetFormatPr defaultRowHeight="15" x14ac:dyDescent="0.25"/>
  <cols>
    <col min="1" max="1" width="11.85546875" bestFit="1" customWidth="1"/>
    <col min="2" max="3" width="11.85546875" customWidth="1"/>
    <col min="4" max="4" width="20" customWidth="1"/>
    <col min="5" max="5" width="12" customWidth="1"/>
    <col min="6" max="7" width="24" customWidth="1"/>
    <col min="8" max="8" width="22" customWidth="1"/>
    <col min="9" max="9" width="21" customWidth="1"/>
    <col min="10" max="10" width="59" customWidth="1"/>
    <col min="11" max="11" width="25" customWidth="1"/>
    <col min="12" max="12" width="23" customWidth="1"/>
    <col min="13" max="13" width="20" customWidth="1"/>
    <col min="14" max="14" width="18" customWidth="1"/>
  </cols>
  <sheetData>
    <row r="1" spans="1:14" ht="33" x14ac:dyDescent="0.25">
      <c r="A1" s="6" t="s">
        <v>26</v>
      </c>
      <c r="B1" s="23" t="s">
        <v>82</v>
      </c>
      <c r="C1" s="23" t="s">
        <v>83</v>
      </c>
      <c r="D1" s="6" t="s">
        <v>27</v>
      </c>
      <c r="E1" s="6" t="s">
        <v>28</v>
      </c>
      <c r="F1" s="6" t="s">
        <v>29</v>
      </c>
      <c r="G1" s="6" t="s">
        <v>30</v>
      </c>
      <c r="H1" s="6" t="s">
        <v>31</v>
      </c>
      <c r="I1" s="6" t="s">
        <v>32</v>
      </c>
      <c r="J1" s="6" t="s">
        <v>33</v>
      </c>
      <c r="K1" s="6" t="s">
        <v>34</v>
      </c>
      <c r="L1" s="6" t="s">
        <v>35</v>
      </c>
      <c r="M1" s="6" t="s">
        <v>36</v>
      </c>
      <c r="N1" s="6" t="s">
        <v>37</v>
      </c>
    </row>
    <row r="2" spans="1:14" ht="16.5" x14ac:dyDescent="0.25">
      <c r="A2" s="24">
        <v>46023</v>
      </c>
      <c r="B2" s="7">
        <v>46023</v>
      </c>
      <c r="C2" s="25" t="str">
        <f>TEXT(B2,"dd")</f>
        <v>01</v>
      </c>
      <c r="D2" s="7" t="s">
        <v>38</v>
      </c>
      <c r="E2" s="7" t="s">
        <v>39</v>
      </c>
      <c r="F2" s="9">
        <v>1000</v>
      </c>
      <c r="G2" s="9">
        <v>941</v>
      </c>
      <c r="H2" s="7" t="s">
        <v>40</v>
      </c>
      <c r="I2" s="9">
        <v>16</v>
      </c>
      <c r="J2" s="7" t="s">
        <v>41</v>
      </c>
      <c r="K2" s="7" t="s">
        <v>42</v>
      </c>
      <c r="L2" s="7" t="s">
        <v>43</v>
      </c>
      <c r="M2" s="10">
        <f t="shared" ref="M2:M65" si="0">G2/F2</f>
        <v>0.94099999999999995</v>
      </c>
      <c r="N2" s="11">
        <f t="shared" ref="N2:N65" si="1">I2/G2</f>
        <v>1.7003188097768331E-2</v>
      </c>
    </row>
    <row r="3" spans="1:14" ht="16.5" x14ac:dyDescent="0.25">
      <c r="A3" s="24">
        <v>46024</v>
      </c>
      <c r="B3" s="7">
        <v>46024</v>
      </c>
      <c r="C3" s="25" t="str">
        <f t="shared" ref="C3:C66" si="2">TEXT(B3,"dd")</f>
        <v>02</v>
      </c>
      <c r="D3" s="8" t="s">
        <v>44</v>
      </c>
      <c r="E3" s="8" t="s">
        <v>39</v>
      </c>
      <c r="F3" s="12">
        <v>1000</v>
      </c>
      <c r="G3" s="12">
        <v>831</v>
      </c>
      <c r="H3" s="8" t="s">
        <v>45</v>
      </c>
      <c r="I3" s="12">
        <v>16</v>
      </c>
      <c r="J3" s="8" t="s">
        <v>46</v>
      </c>
      <c r="K3" s="8" t="s">
        <v>47</v>
      </c>
      <c r="L3" s="8" t="s">
        <v>48</v>
      </c>
      <c r="M3" s="13">
        <f t="shared" si="0"/>
        <v>0.83099999999999996</v>
      </c>
      <c r="N3" s="14">
        <f t="shared" si="1"/>
        <v>1.9253910950661854E-2</v>
      </c>
    </row>
    <row r="4" spans="1:14" ht="16.5" x14ac:dyDescent="0.25">
      <c r="A4" s="24">
        <v>46025</v>
      </c>
      <c r="B4" s="7">
        <v>46025</v>
      </c>
      <c r="C4" s="25" t="str">
        <f t="shared" si="2"/>
        <v>03</v>
      </c>
      <c r="D4" s="7" t="s">
        <v>38</v>
      </c>
      <c r="E4" s="7" t="s">
        <v>39</v>
      </c>
      <c r="F4" s="9">
        <v>1000</v>
      </c>
      <c r="G4" s="9">
        <v>967</v>
      </c>
      <c r="H4" s="7" t="s">
        <v>40</v>
      </c>
      <c r="I4" s="9">
        <v>6</v>
      </c>
      <c r="J4" s="7" t="s">
        <v>41</v>
      </c>
      <c r="K4" s="7" t="s">
        <v>47</v>
      </c>
      <c r="L4" s="7" t="s">
        <v>48</v>
      </c>
      <c r="M4" s="10">
        <f t="shared" si="0"/>
        <v>0.96699999999999997</v>
      </c>
      <c r="N4" s="11">
        <f t="shared" si="1"/>
        <v>6.2047569803516025E-3</v>
      </c>
    </row>
    <row r="5" spans="1:14" ht="16.5" x14ac:dyDescent="0.25">
      <c r="A5" s="24">
        <v>46026</v>
      </c>
      <c r="B5" s="7">
        <v>46026</v>
      </c>
      <c r="C5" s="25" t="str">
        <f t="shared" si="2"/>
        <v>04</v>
      </c>
      <c r="D5" s="8" t="s">
        <v>44</v>
      </c>
      <c r="E5" s="8" t="s">
        <v>49</v>
      </c>
      <c r="F5" s="12">
        <v>1200</v>
      </c>
      <c r="G5" s="12">
        <v>990</v>
      </c>
      <c r="H5" s="8" t="s">
        <v>50</v>
      </c>
      <c r="I5" s="12">
        <v>40</v>
      </c>
      <c r="J5" s="8" t="s">
        <v>51</v>
      </c>
      <c r="K5" s="8" t="s">
        <v>52</v>
      </c>
      <c r="L5" s="8" t="s">
        <v>48</v>
      </c>
      <c r="M5" s="13">
        <f t="shared" si="0"/>
        <v>0.82499999999999996</v>
      </c>
      <c r="N5" s="14">
        <f t="shared" si="1"/>
        <v>4.0404040404040407E-2</v>
      </c>
    </row>
    <row r="6" spans="1:14" ht="16.5" x14ac:dyDescent="0.25">
      <c r="A6" s="24">
        <v>46027</v>
      </c>
      <c r="B6" s="7">
        <v>46027</v>
      </c>
      <c r="C6" s="25" t="str">
        <f t="shared" si="2"/>
        <v>05</v>
      </c>
      <c r="D6" s="7" t="s">
        <v>53</v>
      </c>
      <c r="E6" s="7" t="s">
        <v>49</v>
      </c>
      <c r="F6" s="9">
        <v>1200</v>
      </c>
      <c r="G6" s="9">
        <v>1082</v>
      </c>
      <c r="H6" s="7" t="s">
        <v>40</v>
      </c>
      <c r="I6" s="9">
        <v>12</v>
      </c>
      <c r="J6" s="7" t="s">
        <v>41</v>
      </c>
      <c r="K6" s="7" t="s">
        <v>47</v>
      </c>
      <c r="L6" s="7" t="s">
        <v>43</v>
      </c>
      <c r="M6" s="10">
        <f t="shared" si="0"/>
        <v>0.90166666666666662</v>
      </c>
      <c r="N6" s="11">
        <f t="shared" si="1"/>
        <v>1.1090573012939002E-2</v>
      </c>
    </row>
    <row r="7" spans="1:14" ht="16.5" x14ac:dyDescent="0.25">
      <c r="A7" s="24">
        <v>46028</v>
      </c>
      <c r="B7" s="7">
        <v>46028</v>
      </c>
      <c r="C7" s="25" t="str">
        <f t="shared" si="2"/>
        <v>06</v>
      </c>
      <c r="D7" s="8" t="s">
        <v>38</v>
      </c>
      <c r="E7" s="8" t="s">
        <v>39</v>
      </c>
      <c r="F7" s="12">
        <v>1200</v>
      </c>
      <c r="G7" s="12">
        <v>1071</v>
      </c>
      <c r="H7" s="8" t="s">
        <v>54</v>
      </c>
      <c r="I7" s="12">
        <v>50</v>
      </c>
      <c r="J7" s="8" t="s">
        <v>55</v>
      </c>
      <c r="K7" s="8" t="s">
        <v>52</v>
      </c>
      <c r="L7" s="8" t="s">
        <v>56</v>
      </c>
      <c r="M7" s="13">
        <f t="shared" si="0"/>
        <v>0.89249999999999996</v>
      </c>
      <c r="N7" s="14">
        <f t="shared" si="1"/>
        <v>4.6685340802987862E-2</v>
      </c>
    </row>
    <row r="8" spans="1:14" ht="16.5" x14ac:dyDescent="0.25">
      <c r="A8" s="24">
        <v>46029</v>
      </c>
      <c r="B8" s="7">
        <v>46029</v>
      </c>
      <c r="C8" s="25" t="str">
        <f t="shared" si="2"/>
        <v>07</v>
      </c>
      <c r="D8" s="7" t="s">
        <v>53</v>
      </c>
      <c r="E8" s="7" t="s">
        <v>57</v>
      </c>
      <c r="F8" s="9">
        <v>1000</v>
      </c>
      <c r="G8" s="9">
        <v>867</v>
      </c>
      <c r="H8" s="7" t="s">
        <v>58</v>
      </c>
      <c r="I8" s="9">
        <v>18</v>
      </c>
      <c r="J8" s="7" t="s">
        <v>59</v>
      </c>
      <c r="K8" s="7" t="s">
        <v>47</v>
      </c>
      <c r="L8" s="7" t="s">
        <v>48</v>
      </c>
      <c r="M8" s="10">
        <f t="shared" si="0"/>
        <v>0.86699999999999999</v>
      </c>
      <c r="N8" s="11">
        <f t="shared" si="1"/>
        <v>2.0761245674740483E-2</v>
      </c>
    </row>
    <row r="9" spans="1:14" ht="16.5" x14ac:dyDescent="0.25">
      <c r="A9" s="24">
        <v>46030</v>
      </c>
      <c r="B9" s="7">
        <v>46030</v>
      </c>
      <c r="C9" s="25" t="str">
        <f t="shared" si="2"/>
        <v>08</v>
      </c>
      <c r="D9" s="8" t="s">
        <v>44</v>
      </c>
      <c r="E9" s="8" t="s">
        <v>39</v>
      </c>
      <c r="F9" s="12">
        <v>1200</v>
      </c>
      <c r="G9" s="12">
        <v>1042</v>
      </c>
      <c r="H9" s="8" t="s">
        <v>40</v>
      </c>
      <c r="I9" s="12">
        <v>13</v>
      </c>
      <c r="J9" s="8" t="s">
        <v>41</v>
      </c>
      <c r="K9" s="8" t="s">
        <v>42</v>
      </c>
      <c r="L9" s="8" t="s">
        <v>56</v>
      </c>
      <c r="M9" s="13">
        <f t="shared" si="0"/>
        <v>0.86833333333333329</v>
      </c>
      <c r="N9" s="14">
        <f t="shared" si="1"/>
        <v>1.2476007677543186E-2</v>
      </c>
    </row>
    <row r="10" spans="1:14" ht="16.5" x14ac:dyDescent="0.25">
      <c r="A10" s="24">
        <v>46031</v>
      </c>
      <c r="B10" s="7">
        <v>46031</v>
      </c>
      <c r="C10" s="25" t="str">
        <f t="shared" si="2"/>
        <v>09</v>
      </c>
      <c r="D10" s="7" t="s">
        <v>60</v>
      </c>
      <c r="E10" s="7" t="s">
        <v>49</v>
      </c>
      <c r="F10" s="9">
        <v>1500</v>
      </c>
      <c r="G10" s="9">
        <v>1475</v>
      </c>
      <c r="H10" s="7" t="s">
        <v>40</v>
      </c>
      <c r="I10" s="9">
        <v>42</v>
      </c>
      <c r="J10" s="7" t="s">
        <v>41</v>
      </c>
      <c r="K10" s="7" t="s">
        <v>47</v>
      </c>
      <c r="L10" s="7" t="s">
        <v>43</v>
      </c>
      <c r="M10" s="10">
        <f t="shared" si="0"/>
        <v>0.98333333333333328</v>
      </c>
      <c r="N10" s="11">
        <f t="shared" si="1"/>
        <v>2.8474576271186439E-2</v>
      </c>
    </row>
    <row r="11" spans="1:14" ht="16.5" x14ac:dyDescent="0.25">
      <c r="A11" s="24">
        <v>46032</v>
      </c>
      <c r="B11" s="7">
        <v>46032</v>
      </c>
      <c r="C11" s="25" t="str">
        <f t="shared" si="2"/>
        <v>10</v>
      </c>
      <c r="D11" s="8" t="s">
        <v>53</v>
      </c>
      <c r="E11" s="8" t="s">
        <v>39</v>
      </c>
      <c r="F11" s="12">
        <v>1500</v>
      </c>
      <c r="G11" s="12">
        <v>1387</v>
      </c>
      <c r="H11" s="8" t="s">
        <v>61</v>
      </c>
      <c r="I11" s="12">
        <v>40</v>
      </c>
      <c r="J11" s="8" t="s">
        <v>62</v>
      </c>
      <c r="K11" s="8" t="s">
        <v>52</v>
      </c>
      <c r="L11" s="8" t="s">
        <v>48</v>
      </c>
      <c r="M11" s="13">
        <f t="shared" si="0"/>
        <v>0.92466666666666664</v>
      </c>
      <c r="N11" s="14">
        <f t="shared" si="1"/>
        <v>2.8839221341023791E-2</v>
      </c>
    </row>
    <row r="12" spans="1:14" ht="16.5" x14ac:dyDescent="0.25">
      <c r="A12" s="24">
        <v>46033</v>
      </c>
      <c r="B12" s="7">
        <v>46033</v>
      </c>
      <c r="C12" s="25" t="str">
        <f t="shared" si="2"/>
        <v>11</v>
      </c>
      <c r="D12" s="7" t="s">
        <v>38</v>
      </c>
      <c r="E12" s="7" t="s">
        <v>49</v>
      </c>
      <c r="F12" s="9">
        <v>1200</v>
      </c>
      <c r="G12" s="9">
        <v>1085</v>
      </c>
      <c r="H12" s="7" t="s">
        <v>61</v>
      </c>
      <c r="I12" s="9">
        <v>35</v>
      </c>
      <c r="J12" s="7" t="s">
        <v>62</v>
      </c>
      <c r="K12" s="7" t="s">
        <v>63</v>
      </c>
      <c r="L12" s="7" t="s">
        <v>48</v>
      </c>
      <c r="M12" s="10">
        <f t="shared" si="0"/>
        <v>0.90416666666666667</v>
      </c>
      <c r="N12" s="11">
        <f t="shared" si="1"/>
        <v>3.2258064516129031E-2</v>
      </c>
    </row>
    <row r="13" spans="1:14" ht="16.5" x14ac:dyDescent="0.25">
      <c r="A13" s="24">
        <v>46034</v>
      </c>
      <c r="B13" s="7">
        <v>46034</v>
      </c>
      <c r="C13" s="25" t="str">
        <f t="shared" si="2"/>
        <v>12</v>
      </c>
      <c r="D13" s="8" t="s">
        <v>60</v>
      </c>
      <c r="E13" s="8" t="s">
        <v>57</v>
      </c>
      <c r="F13" s="12">
        <v>1000</v>
      </c>
      <c r="G13" s="12">
        <v>946</v>
      </c>
      <c r="H13" s="8" t="s">
        <v>45</v>
      </c>
      <c r="I13" s="12">
        <v>26</v>
      </c>
      <c r="J13" s="8" t="s">
        <v>46</v>
      </c>
      <c r="K13" s="8" t="s">
        <v>63</v>
      </c>
      <c r="L13" s="8" t="s">
        <v>48</v>
      </c>
      <c r="M13" s="13">
        <f t="shared" si="0"/>
        <v>0.94599999999999995</v>
      </c>
      <c r="N13" s="14">
        <f t="shared" si="1"/>
        <v>2.748414376321353E-2</v>
      </c>
    </row>
    <row r="14" spans="1:14" ht="16.5" x14ac:dyDescent="0.25">
      <c r="A14" s="24">
        <v>46035</v>
      </c>
      <c r="B14" s="7">
        <v>46035</v>
      </c>
      <c r="C14" s="25" t="str">
        <f t="shared" si="2"/>
        <v>13</v>
      </c>
      <c r="D14" s="7" t="s">
        <v>38</v>
      </c>
      <c r="E14" s="7" t="s">
        <v>39</v>
      </c>
      <c r="F14" s="9">
        <v>1000</v>
      </c>
      <c r="G14" s="9">
        <v>1012</v>
      </c>
      <c r="H14" s="7" t="s">
        <v>40</v>
      </c>
      <c r="I14" s="9">
        <v>5</v>
      </c>
      <c r="J14" s="7" t="s">
        <v>41</v>
      </c>
      <c r="K14" s="7" t="s">
        <v>47</v>
      </c>
      <c r="L14" s="7" t="s">
        <v>56</v>
      </c>
      <c r="M14" s="10">
        <f t="shared" si="0"/>
        <v>1.012</v>
      </c>
      <c r="N14" s="11">
        <f t="shared" si="1"/>
        <v>4.940711462450593E-3</v>
      </c>
    </row>
    <row r="15" spans="1:14" ht="16.5" x14ac:dyDescent="0.25">
      <c r="A15" s="24">
        <v>46036</v>
      </c>
      <c r="B15" s="7">
        <v>46036</v>
      </c>
      <c r="C15" s="25" t="str">
        <f t="shared" si="2"/>
        <v>14</v>
      </c>
      <c r="D15" s="8" t="s">
        <v>53</v>
      </c>
      <c r="E15" s="8" t="s">
        <v>49</v>
      </c>
      <c r="F15" s="12">
        <v>1200</v>
      </c>
      <c r="G15" s="12">
        <v>1111</v>
      </c>
      <c r="H15" s="8" t="s">
        <v>58</v>
      </c>
      <c r="I15" s="12">
        <v>33</v>
      </c>
      <c r="J15" s="8" t="s">
        <v>59</v>
      </c>
      <c r="K15" s="8" t="s">
        <v>52</v>
      </c>
      <c r="L15" s="8" t="s">
        <v>48</v>
      </c>
      <c r="M15" s="13">
        <f t="shared" si="0"/>
        <v>0.92583333333333329</v>
      </c>
      <c r="N15" s="14">
        <f t="shared" si="1"/>
        <v>2.9702970297029702E-2</v>
      </c>
    </row>
    <row r="16" spans="1:14" ht="16.5" x14ac:dyDescent="0.25">
      <c r="A16" s="24">
        <v>46037</v>
      </c>
      <c r="B16" s="7">
        <v>46037</v>
      </c>
      <c r="C16" s="25" t="str">
        <f t="shared" si="2"/>
        <v>15</v>
      </c>
      <c r="D16" s="7" t="s">
        <v>38</v>
      </c>
      <c r="E16" s="7" t="s">
        <v>39</v>
      </c>
      <c r="F16" s="9">
        <v>1200</v>
      </c>
      <c r="G16" s="9">
        <v>989</v>
      </c>
      <c r="H16" s="7" t="s">
        <v>54</v>
      </c>
      <c r="I16" s="9">
        <v>14</v>
      </c>
      <c r="J16" s="7" t="s">
        <v>55</v>
      </c>
      <c r="K16" s="7" t="s">
        <v>52</v>
      </c>
      <c r="L16" s="7" t="s">
        <v>48</v>
      </c>
      <c r="M16" s="10">
        <f t="shared" si="0"/>
        <v>0.82416666666666671</v>
      </c>
      <c r="N16" s="11">
        <f t="shared" si="1"/>
        <v>1.4155712841253791E-2</v>
      </c>
    </row>
    <row r="17" spans="1:14" ht="16.5" x14ac:dyDescent="0.25">
      <c r="A17" s="24">
        <v>46038</v>
      </c>
      <c r="B17" s="7">
        <v>46038</v>
      </c>
      <c r="C17" s="25" t="str">
        <f t="shared" si="2"/>
        <v>16</v>
      </c>
      <c r="D17" s="8" t="s">
        <v>53</v>
      </c>
      <c r="E17" s="8" t="s">
        <v>57</v>
      </c>
      <c r="F17" s="12">
        <v>1200</v>
      </c>
      <c r="G17" s="12">
        <v>1212</v>
      </c>
      <c r="H17" s="8" t="s">
        <v>54</v>
      </c>
      <c r="I17" s="12">
        <v>32</v>
      </c>
      <c r="J17" s="8" t="s">
        <v>55</v>
      </c>
      <c r="K17" s="8" t="s">
        <v>42</v>
      </c>
      <c r="L17" s="8" t="s">
        <v>43</v>
      </c>
      <c r="M17" s="13">
        <f t="shared" si="0"/>
        <v>1.01</v>
      </c>
      <c r="N17" s="14">
        <f t="shared" si="1"/>
        <v>2.6402640264026403E-2</v>
      </c>
    </row>
    <row r="18" spans="1:14" ht="16.5" x14ac:dyDescent="0.25">
      <c r="A18" s="24">
        <v>46039</v>
      </c>
      <c r="B18" s="7">
        <v>46039</v>
      </c>
      <c r="C18" s="25" t="str">
        <f t="shared" si="2"/>
        <v>17</v>
      </c>
      <c r="D18" s="7" t="s">
        <v>44</v>
      </c>
      <c r="E18" s="7" t="s">
        <v>39</v>
      </c>
      <c r="F18" s="9">
        <v>1200</v>
      </c>
      <c r="G18" s="9">
        <v>1116</v>
      </c>
      <c r="H18" s="7" t="s">
        <v>58</v>
      </c>
      <c r="I18" s="9">
        <v>37</v>
      </c>
      <c r="J18" s="7" t="s">
        <v>59</v>
      </c>
      <c r="K18" s="7" t="s">
        <v>63</v>
      </c>
      <c r="L18" s="7" t="s">
        <v>43</v>
      </c>
      <c r="M18" s="10">
        <f t="shared" si="0"/>
        <v>0.93</v>
      </c>
      <c r="N18" s="11">
        <f t="shared" si="1"/>
        <v>3.3154121863799284E-2</v>
      </c>
    </row>
    <row r="19" spans="1:14" ht="16.5" x14ac:dyDescent="0.25">
      <c r="A19" s="24">
        <v>46040</v>
      </c>
      <c r="B19" s="7">
        <v>46040</v>
      </c>
      <c r="C19" s="25" t="str">
        <f t="shared" si="2"/>
        <v>18</v>
      </c>
      <c r="D19" s="8" t="s">
        <v>38</v>
      </c>
      <c r="E19" s="8" t="s">
        <v>39</v>
      </c>
      <c r="F19" s="12">
        <v>1500</v>
      </c>
      <c r="G19" s="12">
        <v>1347</v>
      </c>
      <c r="H19" s="8" t="s">
        <v>54</v>
      </c>
      <c r="I19" s="12">
        <v>22</v>
      </c>
      <c r="J19" s="8" t="s">
        <v>55</v>
      </c>
      <c r="K19" s="8" t="s">
        <v>42</v>
      </c>
      <c r="L19" s="8" t="s">
        <v>48</v>
      </c>
      <c r="M19" s="13">
        <f t="shared" si="0"/>
        <v>0.89800000000000002</v>
      </c>
      <c r="N19" s="14">
        <f t="shared" si="1"/>
        <v>1.6332590942835932E-2</v>
      </c>
    </row>
    <row r="20" spans="1:14" ht="16.5" x14ac:dyDescent="0.25">
      <c r="A20" s="24">
        <v>46041</v>
      </c>
      <c r="B20" s="7">
        <v>46041</v>
      </c>
      <c r="C20" s="25" t="str">
        <f t="shared" si="2"/>
        <v>19</v>
      </c>
      <c r="D20" s="7" t="s">
        <v>53</v>
      </c>
      <c r="E20" s="7" t="s">
        <v>57</v>
      </c>
      <c r="F20" s="9">
        <v>1200</v>
      </c>
      <c r="G20" s="9">
        <v>1113</v>
      </c>
      <c r="H20" s="7" t="s">
        <v>50</v>
      </c>
      <c r="I20" s="9">
        <v>34</v>
      </c>
      <c r="J20" s="7" t="s">
        <v>51</v>
      </c>
      <c r="K20" s="7" t="s">
        <v>52</v>
      </c>
      <c r="L20" s="7" t="s">
        <v>48</v>
      </c>
      <c r="M20" s="10">
        <f t="shared" si="0"/>
        <v>0.92749999999999999</v>
      </c>
      <c r="N20" s="11">
        <f t="shared" si="1"/>
        <v>3.0548068283917342E-2</v>
      </c>
    </row>
    <row r="21" spans="1:14" ht="16.5" x14ac:dyDescent="0.25">
      <c r="A21" s="24">
        <v>46042</v>
      </c>
      <c r="B21" s="7">
        <v>46042</v>
      </c>
      <c r="C21" s="25" t="str">
        <f t="shared" si="2"/>
        <v>20</v>
      </c>
      <c r="D21" s="8" t="s">
        <v>53</v>
      </c>
      <c r="E21" s="8" t="s">
        <v>57</v>
      </c>
      <c r="F21" s="12">
        <v>1000</v>
      </c>
      <c r="G21" s="12">
        <v>994</v>
      </c>
      <c r="H21" s="8" t="s">
        <v>58</v>
      </c>
      <c r="I21" s="12">
        <v>40</v>
      </c>
      <c r="J21" s="8" t="s">
        <v>59</v>
      </c>
      <c r="K21" s="8" t="s">
        <v>42</v>
      </c>
      <c r="L21" s="8" t="s">
        <v>48</v>
      </c>
      <c r="M21" s="13">
        <f t="shared" si="0"/>
        <v>0.99399999999999999</v>
      </c>
      <c r="N21" s="14">
        <f t="shared" si="1"/>
        <v>4.0241448692152917E-2</v>
      </c>
    </row>
    <row r="22" spans="1:14" ht="16.5" x14ac:dyDescent="0.25">
      <c r="A22" s="24">
        <v>46043</v>
      </c>
      <c r="B22" s="7">
        <v>46043</v>
      </c>
      <c r="C22" s="25" t="str">
        <f t="shared" si="2"/>
        <v>21</v>
      </c>
      <c r="D22" s="7" t="s">
        <v>53</v>
      </c>
      <c r="E22" s="7" t="s">
        <v>39</v>
      </c>
      <c r="F22" s="9">
        <v>1000</v>
      </c>
      <c r="G22" s="9">
        <v>943</v>
      </c>
      <c r="H22" s="7" t="s">
        <v>45</v>
      </c>
      <c r="I22" s="9">
        <v>21</v>
      </c>
      <c r="J22" s="7" t="s">
        <v>46</v>
      </c>
      <c r="K22" s="7" t="s">
        <v>52</v>
      </c>
      <c r="L22" s="7" t="s">
        <v>48</v>
      </c>
      <c r="M22" s="10">
        <f t="shared" si="0"/>
        <v>0.94299999999999995</v>
      </c>
      <c r="N22" s="11">
        <f t="shared" si="1"/>
        <v>2.2269353128313893E-2</v>
      </c>
    </row>
    <row r="23" spans="1:14" ht="16.5" x14ac:dyDescent="0.25">
      <c r="A23" s="24">
        <v>46044</v>
      </c>
      <c r="B23" s="7">
        <v>46044</v>
      </c>
      <c r="C23" s="25" t="str">
        <f t="shared" si="2"/>
        <v>22</v>
      </c>
      <c r="D23" s="8" t="s">
        <v>44</v>
      </c>
      <c r="E23" s="8" t="s">
        <v>57</v>
      </c>
      <c r="F23" s="12">
        <v>1500</v>
      </c>
      <c r="G23" s="12">
        <v>1240</v>
      </c>
      <c r="H23" s="8" t="s">
        <v>54</v>
      </c>
      <c r="I23" s="12">
        <v>53</v>
      </c>
      <c r="J23" s="8" t="s">
        <v>55</v>
      </c>
      <c r="K23" s="8" t="s">
        <v>63</v>
      </c>
      <c r="L23" s="8" t="s">
        <v>48</v>
      </c>
      <c r="M23" s="13">
        <f t="shared" si="0"/>
        <v>0.82666666666666666</v>
      </c>
      <c r="N23" s="14">
        <f t="shared" si="1"/>
        <v>4.2741935483870966E-2</v>
      </c>
    </row>
    <row r="24" spans="1:14" ht="16.5" x14ac:dyDescent="0.25">
      <c r="A24" s="24">
        <v>46045</v>
      </c>
      <c r="B24" s="7">
        <v>46045</v>
      </c>
      <c r="C24" s="25" t="str">
        <f t="shared" si="2"/>
        <v>23</v>
      </c>
      <c r="D24" s="7" t="s">
        <v>53</v>
      </c>
      <c r="E24" s="7" t="s">
        <v>49</v>
      </c>
      <c r="F24" s="9">
        <v>1500</v>
      </c>
      <c r="G24" s="9">
        <v>1436</v>
      </c>
      <c r="H24" s="7" t="s">
        <v>54</v>
      </c>
      <c r="I24" s="9">
        <v>22</v>
      </c>
      <c r="J24" s="7" t="s">
        <v>55</v>
      </c>
      <c r="K24" s="7" t="s">
        <v>63</v>
      </c>
      <c r="L24" s="7" t="s">
        <v>48</v>
      </c>
      <c r="M24" s="10">
        <f t="shared" si="0"/>
        <v>0.95733333333333337</v>
      </c>
      <c r="N24" s="11">
        <f t="shared" si="1"/>
        <v>1.532033426183844E-2</v>
      </c>
    </row>
    <row r="25" spans="1:14" ht="16.5" x14ac:dyDescent="0.25">
      <c r="A25" s="24">
        <v>46046</v>
      </c>
      <c r="B25" s="7">
        <v>46046</v>
      </c>
      <c r="C25" s="25" t="str">
        <f t="shared" si="2"/>
        <v>24</v>
      </c>
      <c r="D25" s="8" t="s">
        <v>60</v>
      </c>
      <c r="E25" s="8" t="s">
        <v>39</v>
      </c>
      <c r="F25" s="12">
        <v>1500</v>
      </c>
      <c r="G25" s="12">
        <v>1353</v>
      </c>
      <c r="H25" s="8" t="s">
        <v>58</v>
      </c>
      <c r="I25" s="12">
        <v>18</v>
      </c>
      <c r="J25" s="8" t="s">
        <v>59</v>
      </c>
      <c r="K25" s="8" t="s">
        <v>52</v>
      </c>
      <c r="L25" s="8" t="s">
        <v>48</v>
      </c>
      <c r="M25" s="13">
        <f t="shared" si="0"/>
        <v>0.90200000000000002</v>
      </c>
      <c r="N25" s="14">
        <f t="shared" si="1"/>
        <v>1.3303769401330377E-2</v>
      </c>
    </row>
    <row r="26" spans="1:14" ht="16.5" x14ac:dyDescent="0.25">
      <c r="A26" s="24">
        <v>46047</v>
      </c>
      <c r="B26" s="7">
        <v>46047</v>
      </c>
      <c r="C26" s="25" t="str">
        <f t="shared" si="2"/>
        <v>25</v>
      </c>
      <c r="D26" s="7" t="s">
        <v>44</v>
      </c>
      <c r="E26" s="7" t="s">
        <v>39</v>
      </c>
      <c r="F26" s="9">
        <v>1500</v>
      </c>
      <c r="G26" s="9">
        <v>1279</v>
      </c>
      <c r="H26" s="7" t="s">
        <v>54</v>
      </c>
      <c r="I26" s="9">
        <v>23</v>
      </c>
      <c r="J26" s="7" t="s">
        <v>55</v>
      </c>
      <c r="K26" s="7" t="s">
        <v>63</v>
      </c>
      <c r="L26" s="7" t="s">
        <v>56</v>
      </c>
      <c r="M26" s="10">
        <f t="shared" si="0"/>
        <v>0.85266666666666668</v>
      </c>
      <c r="N26" s="11">
        <f t="shared" si="1"/>
        <v>1.7982799061767005E-2</v>
      </c>
    </row>
    <row r="27" spans="1:14" ht="16.5" x14ac:dyDescent="0.25">
      <c r="A27" s="24">
        <v>46048</v>
      </c>
      <c r="B27" s="7">
        <v>46048</v>
      </c>
      <c r="C27" s="25" t="str">
        <f t="shared" si="2"/>
        <v>26</v>
      </c>
      <c r="D27" s="8" t="s">
        <v>60</v>
      </c>
      <c r="E27" s="8" t="s">
        <v>39</v>
      </c>
      <c r="F27" s="12">
        <v>1500</v>
      </c>
      <c r="G27" s="12">
        <v>1415</v>
      </c>
      <c r="H27" s="8" t="s">
        <v>40</v>
      </c>
      <c r="I27" s="12">
        <v>7</v>
      </c>
      <c r="J27" s="8" t="s">
        <v>41</v>
      </c>
      <c r="K27" s="8" t="s">
        <v>42</v>
      </c>
      <c r="L27" s="8" t="s">
        <v>48</v>
      </c>
      <c r="M27" s="13">
        <f t="shared" si="0"/>
        <v>0.94333333333333336</v>
      </c>
      <c r="N27" s="14">
        <f t="shared" si="1"/>
        <v>4.9469964664310955E-3</v>
      </c>
    </row>
    <row r="28" spans="1:14" ht="16.5" x14ac:dyDescent="0.25">
      <c r="A28" s="24">
        <v>46049</v>
      </c>
      <c r="B28" s="7">
        <v>46049</v>
      </c>
      <c r="C28" s="25" t="str">
        <f t="shared" si="2"/>
        <v>27</v>
      </c>
      <c r="D28" s="7" t="s">
        <v>38</v>
      </c>
      <c r="E28" s="7" t="s">
        <v>57</v>
      </c>
      <c r="F28" s="9">
        <v>1000</v>
      </c>
      <c r="G28" s="9">
        <v>865</v>
      </c>
      <c r="H28" s="7" t="s">
        <v>61</v>
      </c>
      <c r="I28" s="9">
        <v>7</v>
      </c>
      <c r="J28" s="7" t="s">
        <v>62</v>
      </c>
      <c r="K28" s="7" t="s">
        <v>47</v>
      </c>
      <c r="L28" s="7" t="s">
        <v>48</v>
      </c>
      <c r="M28" s="10">
        <f t="shared" si="0"/>
        <v>0.86499999999999999</v>
      </c>
      <c r="N28" s="11">
        <f t="shared" si="1"/>
        <v>8.0924855491329474E-3</v>
      </c>
    </row>
    <row r="29" spans="1:14" ht="16.5" x14ac:dyDescent="0.25">
      <c r="A29" s="24">
        <v>46050</v>
      </c>
      <c r="B29" s="7">
        <v>46050</v>
      </c>
      <c r="C29" s="25" t="str">
        <f t="shared" si="2"/>
        <v>28</v>
      </c>
      <c r="D29" s="8" t="s">
        <v>53</v>
      </c>
      <c r="E29" s="8" t="s">
        <v>57</v>
      </c>
      <c r="F29" s="12">
        <v>1000</v>
      </c>
      <c r="G29" s="12">
        <v>926</v>
      </c>
      <c r="H29" s="8" t="s">
        <v>54</v>
      </c>
      <c r="I29" s="12">
        <v>40</v>
      </c>
      <c r="J29" s="8" t="s">
        <v>55</v>
      </c>
      <c r="K29" s="8" t="s">
        <v>42</v>
      </c>
      <c r="L29" s="8" t="s">
        <v>48</v>
      </c>
      <c r="M29" s="13">
        <f t="shared" si="0"/>
        <v>0.92600000000000005</v>
      </c>
      <c r="N29" s="14">
        <f t="shared" si="1"/>
        <v>4.3196544276457881E-2</v>
      </c>
    </row>
    <row r="30" spans="1:14" ht="16.5" x14ac:dyDescent="0.25">
      <c r="A30" s="24">
        <v>46051</v>
      </c>
      <c r="B30" s="7">
        <v>46051</v>
      </c>
      <c r="C30" s="25" t="str">
        <f t="shared" si="2"/>
        <v>29</v>
      </c>
      <c r="D30" s="7" t="s">
        <v>53</v>
      </c>
      <c r="E30" s="7" t="s">
        <v>57</v>
      </c>
      <c r="F30" s="9">
        <v>1500</v>
      </c>
      <c r="G30" s="9">
        <v>1396</v>
      </c>
      <c r="H30" s="7" t="s">
        <v>40</v>
      </c>
      <c r="I30" s="9">
        <v>11</v>
      </c>
      <c r="J30" s="7" t="s">
        <v>41</v>
      </c>
      <c r="K30" s="7" t="s">
        <v>63</v>
      </c>
      <c r="L30" s="7" t="s">
        <v>48</v>
      </c>
      <c r="M30" s="10">
        <f t="shared" si="0"/>
        <v>0.93066666666666664</v>
      </c>
      <c r="N30" s="11">
        <f t="shared" si="1"/>
        <v>7.8796561604584526E-3</v>
      </c>
    </row>
    <row r="31" spans="1:14" ht="16.5" x14ac:dyDescent="0.25">
      <c r="A31" s="24">
        <v>46052</v>
      </c>
      <c r="B31" s="7">
        <v>46052</v>
      </c>
      <c r="C31" s="25" t="str">
        <f t="shared" si="2"/>
        <v>30</v>
      </c>
      <c r="D31" s="8" t="s">
        <v>44</v>
      </c>
      <c r="E31" s="8" t="s">
        <v>57</v>
      </c>
      <c r="F31" s="12">
        <v>1200</v>
      </c>
      <c r="G31" s="12">
        <v>1132</v>
      </c>
      <c r="H31" s="8" t="s">
        <v>40</v>
      </c>
      <c r="I31" s="12">
        <v>15</v>
      </c>
      <c r="J31" s="8" t="s">
        <v>41</v>
      </c>
      <c r="K31" s="8" t="s">
        <v>47</v>
      </c>
      <c r="L31" s="8" t="s">
        <v>48</v>
      </c>
      <c r="M31" s="13">
        <f t="shared" si="0"/>
        <v>0.94333333333333336</v>
      </c>
      <c r="N31" s="14">
        <f t="shared" si="1"/>
        <v>1.3250883392226149E-2</v>
      </c>
    </row>
    <row r="32" spans="1:14" ht="16.5" x14ac:dyDescent="0.25">
      <c r="A32" s="24">
        <v>46053</v>
      </c>
      <c r="B32" s="7">
        <v>46053</v>
      </c>
      <c r="C32" s="25" t="str">
        <f t="shared" si="2"/>
        <v>31</v>
      </c>
      <c r="D32" s="7" t="s">
        <v>44</v>
      </c>
      <c r="E32" s="7" t="s">
        <v>39</v>
      </c>
      <c r="F32" s="9">
        <v>1000</v>
      </c>
      <c r="G32" s="9">
        <v>936</v>
      </c>
      <c r="H32" s="7" t="s">
        <v>40</v>
      </c>
      <c r="I32" s="9">
        <v>30</v>
      </c>
      <c r="J32" s="7" t="s">
        <v>41</v>
      </c>
      <c r="K32" s="7" t="s">
        <v>52</v>
      </c>
      <c r="L32" s="7" t="s">
        <v>48</v>
      </c>
      <c r="M32" s="10">
        <f t="shared" si="0"/>
        <v>0.93600000000000005</v>
      </c>
      <c r="N32" s="11">
        <f t="shared" si="1"/>
        <v>3.2051282051282048E-2</v>
      </c>
    </row>
    <row r="33" spans="1:14" ht="16.5" x14ac:dyDescent="0.25">
      <c r="A33" s="24">
        <v>46054</v>
      </c>
      <c r="B33" s="7">
        <v>46054</v>
      </c>
      <c r="C33" s="25" t="str">
        <f t="shared" si="2"/>
        <v>01</v>
      </c>
      <c r="D33" s="8" t="s">
        <v>60</v>
      </c>
      <c r="E33" s="8" t="s">
        <v>39</v>
      </c>
      <c r="F33" s="12">
        <v>1000</v>
      </c>
      <c r="G33" s="12">
        <v>943</v>
      </c>
      <c r="H33" s="8" t="s">
        <v>40</v>
      </c>
      <c r="I33" s="12">
        <v>31</v>
      </c>
      <c r="J33" s="8" t="s">
        <v>41</v>
      </c>
      <c r="K33" s="8" t="s">
        <v>42</v>
      </c>
      <c r="L33" s="8" t="s">
        <v>43</v>
      </c>
      <c r="M33" s="13">
        <f t="shared" si="0"/>
        <v>0.94299999999999995</v>
      </c>
      <c r="N33" s="14">
        <f t="shared" si="1"/>
        <v>3.2873806998939555E-2</v>
      </c>
    </row>
    <row r="34" spans="1:14" ht="16.5" x14ac:dyDescent="0.25">
      <c r="A34" s="24">
        <v>46055</v>
      </c>
      <c r="B34" s="7">
        <v>46055</v>
      </c>
      <c r="C34" s="25" t="str">
        <f t="shared" si="2"/>
        <v>02</v>
      </c>
      <c r="D34" s="7" t="s">
        <v>38</v>
      </c>
      <c r="E34" s="7" t="s">
        <v>49</v>
      </c>
      <c r="F34" s="9">
        <v>1000</v>
      </c>
      <c r="G34" s="9">
        <v>942</v>
      </c>
      <c r="H34" s="7" t="s">
        <v>40</v>
      </c>
      <c r="I34" s="9">
        <v>41</v>
      </c>
      <c r="J34" s="7" t="s">
        <v>41</v>
      </c>
      <c r="K34" s="7" t="s">
        <v>63</v>
      </c>
      <c r="L34" s="7" t="s">
        <v>48</v>
      </c>
      <c r="M34" s="10">
        <f t="shared" si="0"/>
        <v>0.94199999999999995</v>
      </c>
      <c r="N34" s="11">
        <f t="shared" si="1"/>
        <v>4.3524416135881101E-2</v>
      </c>
    </row>
    <row r="35" spans="1:14" ht="16.5" x14ac:dyDescent="0.25">
      <c r="A35" s="24">
        <v>46056</v>
      </c>
      <c r="B35" s="7">
        <v>46056</v>
      </c>
      <c r="C35" s="25" t="str">
        <f t="shared" si="2"/>
        <v>03</v>
      </c>
      <c r="D35" s="8" t="s">
        <v>60</v>
      </c>
      <c r="E35" s="8" t="s">
        <v>39</v>
      </c>
      <c r="F35" s="12">
        <v>1000</v>
      </c>
      <c r="G35" s="12">
        <v>935</v>
      </c>
      <c r="H35" s="8" t="s">
        <v>40</v>
      </c>
      <c r="I35" s="12">
        <v>37</v>
      </c>
      <c r="J35" s="8" t="s">
        <v>41</v>
      </c>
      <c r="K35" s="8" t="s">
        <v>52</v>
      </c>
      <c r="L35" s="8" t="s">
        <v>48</v>
      </c>
      <c r="M35" s="13">
        <f t="shared" si="0"/>
        <v>0.93500000000000005</v>
      </c>
      <c r="N35" s="14">
        <f t="shared" si="1"/>
        <v>3.9572192513368985E-2</v>
      </c>
    </row>
    <row r="36" spans="1:14" ht="16.5" x14ac:dyDescent="0.25">
      <c r="A36" s="24">
        <v>46057</v>
      </c>
      <c r="B36" s="7">
        <v>46057</v>
      </c>
      <c r="C36" s="25" t="str">
        <f t="shared" si="2"/>
        <v>04</v>
      </c>
      <c r="D36" s="7" t="s">
        <v>38</v>
      </c>
      <c r="E36" s="7" t="s">
        <v>39</v>
      </c>
      <c r="F36" s="9">
        <v>1200</v>
      </c>
      <c r="G36" s="9">
        <v>1197</v>
      </c>
      <c r="H36" s="7" t="s">
        <v>40</v>
      </c>
      <c r="I36" s="9">
        <v>32</v>
      </c>
      <c r="J36" s="7" t="s">
        <v>41</v>
      </c>
      <c r="K36" s="7" t="s">
        <v>63</v>
      </c>
      <c r="L36" s="7" t="s">
        <v>48</v>
      </c>
      <c r="M36" s="10">
        <f t="shared" si="0"/>
        <v>0.99750000000000005</v>
      </c>
      <c r="N36" s="11">
        <f t="shared" si="1"/>
        <v>2.6733500417710943E-2</v>
      </c>
    </row>
    <row r="37" spans="1:14" ht="16.5" x14ac:dyDescent="0.25">
      <c r="A37" s="24">
        <v>46058</v>
      </c>
      <c r="B37" s="7">
        <v>46058</v>
      </c>
      <c r="C37" s="25" t="str">
        <f t="shared" si="2"/>
        <v>05</v>
      </c>
      <c r="D37" s="8" t="s">
        <v>38</v>
      </c>
      <c r="E37" s="8" t="s">
        <v>49</v>
      </c>
      <c r="F37" s="12">
        <v>1200</v>
      </c>
      <c r="G37" s="12">
        <v>1211</v>
      </c>
      <c r="H37" s="8" t="s">
        <v>45</v>
      </c>
      <c r="I37" s="12">
        <v>13</v>
      </c>
      <c r="J37" s="8" t="s">
        <v>46</v>
      </c>
      <c r="K37" s="8" t="s">
        <v>63</v>
      </c>
      <c r="L37" s="8" t="s">
        <v>48</v>
      </c>
      <c r="M37" s="13">
        <f t="shared" si="0"/>
        <v>1.0091666666666668</v>
      </c>
      <c r="N37" s="14">
        <f t="shared" si="1"/>
        <v>1.0734929810074319E-2</v>
      </c>
    </row>
    <row r="38" spans="1:14" ht="16.5" x14ac:dyDescent="0.25">
      <c r="A38" s="24">
        <v>46059</v>
      </c>
      <c r="B38" s="7">
        <v>46059</v>
      </c>
      <c r="C38" s="25" t="str">
        <f t="shared" si="2"/>
        <v>06</v>
      </c>
      <c r="D38" s="7" t="s">
        <v>38</v>
      </c>
      <c r="E38" s="7" t="s">
        <v>39</v>
      </c>
      <c r="F38" s="9">
        <v>1200</v>
      </c>
      <c r="G38" s="9">
        <v>985</v>
      </c>
      <c r="H38" s="7" t="s">
        <v>58</v>
      </c>
      <c r="I38" s="9">
        <v>40</v>
      </c>
      <c r="J38" s="7" t="s">
        <v>59</v>
      </c>
      <c r="K38" s="7" t="s">
        <v>47</v>
      </c>
      <c r="L38" s="7" t="s">
        <v>48</v>
      </c>
      <c r="M38" s="10">
        <f t="shared" si="0"/>
        <v>0.8208333333333333</v>
      </c>
      <c r="N38" s="11">
        <f t="shared" si="1"/>
        <v>4.060913705583756E-2</v>
      </c>
    </row>
    <row r="39" spans="1:14" ht="16.5" x14ac:dyDescent="0.25">
      <c r="A39" s="24">
        <v>46060</v>
      </c>
      <c r="B39" s="7">
        <v>46060</v>
      </c>
      <c r="C39" s="25" t="str">
        <f t="shared" si="2"/>
        <v>07</v>
      </c>
      <c r="D39" s="8" t="s">
        <v>53</v>
      </c>
      <c r="E39" s="8" t="s">
        <v>39</v>
      </c>
      <c r="F39" s="12">
        <v>1200</v>
      </c>
      <c r="G39" s="12">
        <v>1110</v>
      </c>
      <c r="H39" s="8" t="s">
        <v>58</v>
      </c>
      <c r="I39" s="12">
        <v>27</v>
      </c>
      <c r="J39" s="8" t="s">
        <v>59</v>
      </c>
      <c r="K39" s="8" t="s">
        <v>42</v>
      </c>
      <c r="L39" s="8" t="s">
        <v>48</v>
      </c>
      <c r="M39" s="13">
        <f t="shared" si="0"/>
        <v>0.92500000000000004</v>
      </c>
      <c r="N39" s="14">
        <f t="shared" si="1"/>
        <v>2.4324324324324326E-2</v>
      </c>
    </row>
    <row r="40" spans="1:14" ht="16.5" x14ac:dyDescent="0.25">
      <c r="A40" s="24">
        <v>46061</v>
      </c>
      <c r="B40" s="7">
        <v>46061</v>
      </c>
      <c r="C40" s="25" t="str">
        <f t="shared" si="2"/>
        <v>08</v>
      </c>
      <c r="D40" s="7" t="s">
        <v>38</v>
      </c>
      <c r="E40" s="7" t="s">
        <v>49</v>
      </c>
      <c r="F40" s="9">
        <v>1500</v>
      </c>
      <c r="G40" s="9">
        <v>1304</v>
      </c>
      <c r="H40" s="7" t="s">
        <v>40</v>
      </c>
      <c r="I40" s="9">
        <v>53</v>
      </c>
      <c r="J40" s="7" t="s">
        <v>41</v>
      </c>
      <c r="K40" s="7" t="s">
        <v>63</v>
      </c>
      <c r="L40" s="7" t="s">
        <v>48</v>
      </c>
      <c r="M40" s="10">
        <f t="shared" si="0"/>
        <v>0.86933333333333329</v>
      </c>
      <c r="N40" s="11">
        <f t="shared" si="1"/>
        <v>4.0644171779141106E-2</v>
      </c>
    </row>
    <row r="41" spans="1:14" ht="16.5" x14ac:dyDescent="0.25">
      <c r="A41" s="24">
        <v>46062</v>
      </c>
      <c r="B41" s="7">
        <v>46062</v>
      </c>
      <c r="C41" s="25" t="str">
        <f t="shared" si="2"/>
        <v>09</v>
      </c>
      <c r="D41" s="8" t="s">
        <v>53</v>
      </c>
      <c r="E41" s="8" t="s">
        <v>57</v>
      </c>
      <c r="F41" s="12">
        <v>1500</v>
      </c>
      <c r="G41" s="12">
        <v>1342</v>
      </c>
      <c r="H41" s="8" t="s">
        <v>40</v>
      </c>
      <c r="I41" s="12">
        <v>14</v>
      </c>
      <c r="J41" s="8" t="s">
        <v>41</v>
      </c>
      <c r="K41" s="8" t="s">
        <v>42</v>
      </c>
      <c r="L41" s="8" t="s">
        <v>48</v>
      </c>
      <c r="M41" s="13">
        <f t="shared" si="0"/>
        <v>0.89466666666666672</v>
      </c>
      <c r="N41" s="14">
        <f t="shared" si="1"/>
        <v>1.0432190760059613E-2</v>
      </c>
    </row>
    <row r="42" spans="1:14" ht="16.5" x14ac:dyDescent="0.25">
      <c r="A42" s="24">
        <v>46063</v>
      </c>
      <c r="B42" s="7">
        <v>46063</v>
      </c>
      <c r="C42" s="25" t="str">
        <f t="shared" si="2"/>
        <v>10</v>
      </c>
      <c r="D42" s="7" t="s">
        <v>53</v>
      </c>
      <c r="E42" s="7" t="s">
        <v>39</v>
      </c>
      <c r="F42" s="9">
        <v>1200</v>
      </c>
      <c r="G42" s="9">
        <v>1131</v>
      </c>
      <c r="H42" s="7" t="s">
        <v>45</v>
      </c>
      <c r="I42" s="9">
        <v>44</v>
      </c>
      <c r="J42" s="7" t="s">
        <v>46</v>
      </c>
      <c r="K42" s="7" t="s">
        <v>63</v>
      </c>
      <c r="L42" s="7" t="s">
        <v>48</v>
      </c>
      <c r="M42" s="10">
        <f t="shared" si="0"/>
        <v>0.9425</v>
      </c>
      <c r="N42" s="11">
        <f t="shared" si="1"/>
        <v>3.8903625110521665E-2</v>
      </c>
    </row>
    <row r="43" spans="1:14" ht="16.5" x14ac:dyDescent="0.25">
      <c r="A43" s="24">
        <v>46064</v>
      </c>
      <c r="B43" s="7">
        <v>46064</v>
      </c>
      <c r="C43" s="25" t="str">
        <f t="shared" si="2"/>
        <v>11</v>
      </c>
      <c r="D43" s="8" t="s">
        <v>44</v>
      </c>
      <c r="E43" s="8" t="s">
        <v>39</v>
      </c>
      <c r="F43" s="12">
        <v>1500</v>
      </c>
      <c r="G43" s="12">
        <v>1285</v>
      </c>
      <c r="H43" s="8" t="s">
        <v>40</v>
      </c>
      <c r="I43" s="12">
        <v>44</v>
      </c>
      <c r="J43" s="8" t="s">
        <v>41</v>
      </c>
      <c r="K43" s="8" t="s">
        <v>63</v>
      </c>
      <c r="L43" s="8" t="s">
        <v>48</v>
      </c>
      <c r="M43" s="13">
        <f t="shared" si="0"/>
        <v>0.85666666666666669</v>
      </c>
      <c r="N43" s="14">
        <f t="shared" si="1"/>
        <v>3.4241245136186774E-2</v>
      </c>
    </row>
    <row r="44" spans="1:14" ht="16.5" x14ac:dyDescent="0.25">
      <c r="A44" s="24">
        <v>46065</v>
      </c>
      <c r="B44" s="7">
        <v>46065</v>
      </c>
      <c r="C44" s="25" t="str">
        <f t="shared" si="2"/>
        <v>12</v>
      </c>
      <c r="D44" s="7" t="s">
        <v>44</v>
      </c>
      <c r="E44" s="7" t="s">
        <v>39</v>
      </c>
      <c r="F44" s="9">
        <v>1500</v>
      </c>
      <c r="G44" s="9">
        <v>1371</v>
      </c>
      <c r="H44" s="7" t="s">
        <v>40</v>
      </c>
      <c r="I44" s="9">
        <v>29</v>
      </c>
      <c r="J44" s="7" t="s">
        <v>41</v>
      </c>
      <c r="K44" s="7" t="s">
        <v>42</v>
      </c>
      <c r="L44" s="7" t="s">
        <v>48</v>
      </c>
      <c r="M44" s="10">
        <f t="shared" si="0"/>
        <v>0.91400000000000003</v>
      </c>
      <c r="N44" s="11">
        <f t="shared" si="1"/>
        <v>2.1152443471918306E-2</v>
      </c>
    </row>
    <row r="45" spans="1:14" ht="16.5" x14ac:dyDescent="0.25">
      <c r="A45" s="24">
        <v>46066</v>
      </c>
      <c r="B45" s="7">
        <v>46066</v>
      </c>
      <c r="C45" s="25" t="str">
        <f t="shared" si="2"/>
        <v>13</v>
      </c>
      <c r="D45" s="8" t="s">
        <v>60</v>
      </c>
      <c r="E45" s="8" t="s">
        <v>57</v>
      </c>
      <c r="F45" s="12">
        <v>1500</v>
      </c>
      <c r="G45" s="12">
        <v>1437</v>
      </c>
      <c r="H45" s="8" t="s">
        <v>58</v>
      </c>
      <c r="I45" s="12">
        <v>30</v>
      </c>
      <c r="J45" s="8" t="s">
        <v>59</v>
      </c>
      <c r="K45" s="8" t="s">
        <v>47</v>
      </c>
      <c r="L45" s="8" t="s">
        <v>48</v>
      </c>
      <c r="M45" s="13">
        <f t="shared" si="0"/>
        <v>0.95799999999999996</v>
      </c>
      <c r="N45" s="14">
        <f t="shared" si="1"/>
        <v>2.0876826722338204E-2</v>
      </c>
    </row>
    <row r="46" spans="1:14" ht="16.5" x14ac:dyDescent="0.25">
      <c r="A46" s="24">
        <v>46067</v>
      </c>
      <c r="B46" s="7">
        <v>46067</v>
      </c>
      <c r="C46" s="25" t="str">
        <f t="shared" si="2"/>
        <v>14</v>
      </c>
      <c r="D46" s="7" t="s">
        <v>53</v>
      </c>
      <c r="E46" s="7" t="s">
        <v>39</v>
      </c>
      <c r="F46" s="9">
        <v>1000</v>
      </c>
      <c r="G46" s="9">
        <v>942</v>
      </c>
      <c r="H46" s="7" t="s">
        <v>58</v>
      </c>
      <c r="I46" s="9">
        <v>11</v>
      </c>
      <c r="J46" s="7" t="s">
        <v>59</v>
      </c>
      <c r="K46" s="7" t="s">
        <v>42</v>
      </c>
      <c r="L46" s="7" t="s">
        <v>48</v>
      </c>
      <c r="M46" s="10">
        <f t="shared" si="0"/>
        <v>0.94199999999999995</v>
      </c>
      <c r="N46" s="11">
        <f t="shared" si="1"/>
        <v>1.167728237791932E-2</v>
      </c>
    </row>
    <row r="47" spans="1:14" ht="16.5" x14ac:dyDescent="0.25">
      <c r="A47" s="24">
        <v>46068</v>
      </c>
      <c r="B47" s="7">
        <v>46068</v>
      </c>
      <c r="C47" s="25" t="str">
        <f t="shared" si="2"/>
        <v>15</v>
      </c>
      <c r="D47" s="8" t="s">
        <v>44</v>
      </c>
      <c r="E47" s="8" t="s">
        <v>57</v>
      </c>
      <c r="F47" s="12">
        <v>1500</v>
      </c>
      <c r="G47" s="12">
        <v>1365</v>
      </c>
      <c r="H47" s="8" t="s">
        <v>58</v>
      </c>
      <c r="I47" s="12">
        <v>33</v>
      </c>
      <c r="J47" s="8" t="s">
        <v>59</v>
      </c>
      <c r="K47" s="8" t="s">
        <v>42</v>
      </c>
      <c r="L47" s="8" t="s">
        <v>48</v>
      </c>
      <c r="M47" s="13">
        <f t="shared" si="0"/>
        <v>0.91</v>
      </c>
      <c r="N47" s="14">
        <f t="shared" si="1"/>
        <v>2.4175824175824177E-2</v>
      </c>
    </row>
    <row r="48" spans="1:14" ht="16.5" x14ac:dyDescent="0.25">
      <c r="A48" s="24">
        <v>46069</v>
      </c>
      <c r="B48" s="7">
        <v>46069</v>
      </c>
      <c r="C48" s="25" t="str">
        <f t="shared" si="2"/>
        <v>16</v>
      </c>
      <c r="D48" s="7" t="s">
        <v>53</v>
      </c>
      <c r="E48" s="7" t="s">
        <v>39</v>
      </c>
      <c r="F48" s="9">
        <v>1500</v>
      </c>
      <c r="G48" s="9">
        <v>1439</v>
      </c>
      <c r="H48" s="7" t="s">
        <v>61</v>
      </c>
      <c r="I48" s="9">
        <v>14</v>
      </c>
      <c r="J48" s="7" t="s">
        <v>62</v>
      </c>
      <c r="K48" s="7" t="s">
        <v>52</v>
      </c>
      <c r="L48" s="7" t="s">
        <v>43</v>
      </c>
      <c r="M48" s="10">
        <f t="shared" si="0"/>
        <v>0.95933333333333337</v>
      </c>
      <c r="N48" s="11">
        <f t="shared" si="1"/>
        <v>9.7289784572619879E-3</v>
      </c>
    </row>
    <row r="49" spans="1:14" ht="16.5" x14ac:dyDescent="0.25">
      <c r="A49" s="24">
        <v>46070</v>
      </c>
      <c r="B49" s="7">
        <v>46070</v>
      </c>
      <c r="C49" s="25" t="str">
        <f t="shared" si="2"/>
        <v>17</v>
      </c>
      <c r="D49" s="8" t="s">
        <v>44</v>
      </c>
      <c r="E49" s="8" t="s">
        <v>49</v>
      </c>
      <c r="F49" s="12">
        <v>1200</v>
      </c>
      <c r="G49" s="12">
        <v>1054</v>
      </c>
      <c r="H49" s="8" t="s">
        <v>61</v>
      </c>
      <c r="I49" s="12">
        <v>7</v>
      </c>
      <c r="J49" s="8" t="s">
        <v>62</v>
      </c>
      <c r="K49" s="8" t="s">
        <v>63</v>
      </c>
      <c r="L49" s="8" t="s">
        <v>48</v>
      </c>
      <c r="M49" s="13">
        <f t="shared" si="0"/>
        <v>0.8783333333333333</v>
      </c>
      <c r="N49" s="14">
        <f t="shared" si="1"/>
        <v>6.6413662239089184E-3</v>
      </c>
    </row>
    <row r="50" spans="1:14" ht="16.5" x14ac:dyDescent="0.25">
      <c r="A50" s="24">
        <v>46071</v>
      </c>
      <c r="B50" s="7">
        <v>46071</v>
      </c>
      <c r="C50" s="25" t="str">
        <f t="shared" si="2"/>
        <v>18</v>
      </c>
      <c r="D50" s="7" t="s">
        <v>60</v>
      </c>
      <c r="E50" s="7" t="s">
        <v>39</v>
      </c>
      <c r="F50" s="9">
        <v>1500</v>
      </c>
      <c r="G50" s="9">
        <v>1423</v>
      </c>
      <c r="H50" s="7" t="s">
        <v>40</v>
      </c>
      <c r="I50" s="9">
        <v>27</v>
      </c>
      <c r="J50" s="7" t="s">
        <v>41</v>
      </c>
      <c r="K50" s="7" t="s">
        <v>47</v>
      </c>
      <c r="L50" s="7" t="s">
        <v>48</v>
      </c>
      <c r="M50" s="10">
        <f t="shared" si="0"/>
        <v>0.94866666666666666</v>
      </c>
      <c r="N50" s="11">
        <f t="shared" si="1"/>
        <v>1.8973998594518624E-2</v>
      </c>
    </row>
    <row r="51" spans="1:14" ht="16.5" x14ac:dyDescent="0.25">
      <c r="A51" s="24">
        <v>46072</v>
      </c>
      <c r="B51" s="7">
        <v>46072</v>
      </c>
      <c r="C51" s="25" t="str">
        <f t="shared" si="2"/>
        <v>19</v>
      </c>
      <c r="D51" s="8" t="s">
        <v>38</v>
      </c>
      <c r="E51" s="8" t="s">
        <v>57</v>
      </c>
      <c r="F51" s="12">
        <v>1200</v>
      </c>
      <c r="G51" s="12">
        <v>1022</v>
      </c>
      <c r="H51" s="8" t="s">
        <v>58</v>
      </c>
      <c r="I51" s="12">
        <v>52</v>
      </c>
      <c r="J51" s="8" t="s">
        <v>59</v>
      </c>
      <c r="K51" s="8" t="s">
        <v>42</v>
      </c>
      <c r="L51" s="8" t="s">
        <v>48</v>
      </c>
      <c r="M51" s="13">
        <f t="shared" si="0"/>
        <v>0.85166666666666668</v>
      </c>
      <c r="N51" s="14">
        <f t="shared" si="1"/>
        <v>5.0880626223091974E-2</v>
      </c>
    </row>
    <row r="52" spans="1:14" ht="16.5" x14ac:dyDescent="0.25">
      <c r="A52" s="24">
        <v>46073</v>
      </c>
      <c r="B52" s="7">
        <v>46073</v>
      </c>
      <c r="C52" s="25" t="str">
        <f t="shared" si="2"/>
        <v>20</v>
      </c>
      <c r="D52" s="7" t="s">
        <v>60</v>
      </c>
      <c r="E52" s="7" t="s">
        <v>49</v>
      </c>
      <c r="F52" s="9">
        <v>1200</v>
      </c>
      <c r="G52" s="9">
        <v>1039</v>
      </c>
      <c r="H52" s="7" t="s">
        <v>58</v>
      </c>
      <c r="I52" s="9">
        <v>9</v>
      </c>
      <c r="J52" s="7" t="s">
        <v>59</v>
      </c>
      <c r="K52" s="7" t="s">
        <v>42</v>
      </c>
      <c r="L52" s="7" t="s">
        <v>56</v>
      </c>
      <c r="M52" s="10">
        <f t="shared" si="0"/>
        <v>0.86583333333333334</v>
      </c>
      <c r="N52" s="11">
        <f t="shared" si="1"/>
        <v>8.6621751684311833E-3</v>
      </c>
    </row>
    <row r="53" spans="1:14" ht="16.5" x14ac:dyDescent="0.25">
      <c r="A53" s="24">
        <v>46074</v>
      </c>
      <c r="B53" s="7">
        <v>46074</v>
      </c>
      <c r="C53" s="25" t="str">
        <f t="shared" si="2"/>
        <v>21</v>
      </c>
      <c r="D53" s="8" t="s">
        <v>60</v>
      </c>
      <c r="E53" s="8" t="s">
        <v>49</v>
      </c>
      <c r="F53" s="12">
        <v>1500</v>
      </c>
      <c r="G53" s="12">
        <v>1475</v>
      </c>
      <c r="H53" s="8" t="s">
        <v>40</v>
      </c>
      <c r="I53" s="12">
        <v>27</v>
      </c>
      <c r="J53" s="8" t="s">
        <v>41</v>
      </c>
      <c r="K53" s="8" t="s">
        <v>63</v>
      </c>
      <c r="L53" s="8" t="s">
        <v>48</v>
      </c>
      <c r="M53" s="13">
        <f t="shared" si="0"/>
        <v>0.98333333333333328</v>
      </c>
      <c r="N53" s="14">
        <f t="shared" si="1"/>
        <v>1.8305084745762711E-2</v>
      </c>
    </row>
    <row r="54" spans="1:14" ht="16.5" x14ac:dyDescent="0.25">
      <c r="A54" s="24">
        <v>46075</v>
      </c>
      <c r="B54" s="7">
        <v>46075</v>
      </c>
      <c r="C54" s="25" t="str">
        <f t="shared" si="2"/>
        <v>22</v>
      </c>
      <c r="D54" s="7" t="s">
        <v>60</v>
      </c>
      <c r="E54" s="7" t="s">
        <v>49</v>
      </c>
      <c r="F54" s="9">
        <v>1000</v>
      </c>
      <c r="G54" s="9">
        <v>851</v>
      </c>
      <c r="H54" s="7" t="s">
        <v>58</v>
      </c>
      <c r="I54" s="9">
        <v>22</v>
      </c>
      <c r="J54" s="7" t="s">
        <v>59</v>
      </c>
      <c r="K54" s="7" t="s">
        <v>47</v>
      </c>
      <c r="L54" s="7" t="s">
        <v>48</v>
      </c>
      <c r="M54" s="10">
        <f t="shared" si="0"/>
        <v>0.85099999999999998</v>
      </c>
      <c r="N54" s="11">
        <f t="shared" si="1"/>
        <v>2.5851938895417155E-2</v>
      </c>
    </row>
    <row r="55" spans="1:14" ht="16.5" x14ac:dyDescent="0.25">
      <c r="A55" s="24">
        <v>46076</v>
      </c>
      <c r="B55" s="7">
        <v>46076</v>
      </c>
      <c r="C55" s="25" t="str">
        <f t="shared" si="2"/>
        <v>23</v>
      </c>
      <c r="D55" s="8" t="s">
        <v>44</v>
      </c>
      <c r="E55" s="8" t="s">
        <v>49</v>
      </c>
      <c r="F55" s="12">
        <v>1200</v>
      </c>
      <c r="G55" s="12">
        <v>1134</v>
      </c>
      <c r="H55" s="8" t="s">
        <v>40</v>
      </c>
      <c r="I55" s="12">
        <v>5</v>
      </c>
      <c r="J55" s="8" t="s">
        <v>41</v>
      </c>
      <c r="K55" s="8" t="s">
        <v>52</v>
      </c>
      <c r="L55" s="8" t="s">
        <v>48</v>
      </c>
      <c r="M55" s="13">
        <f t="shared" si="0"/>
        <v>0.94499999999999995</v>
      </c>
      <c r="N55" s="14">
        <f t="shared" si="1"/>
        <v>4.4091710758377423E-3</v>
      </c>
    </row>
    <row r="56" spans="1:14" ht="16.5" x14ac:dyDescent="0.25">
      <c r="A56" s="24">
        <v>46077</v>
      </c>
      <c r="B56" s="7">
        <v>46077</v>
      </c>
      <c r="C56" s="25" t="str">
        <f t="shared" si="2"/>
        <v>24</v>
      </c>
      <c r="D56" s="7" t="s">
        <v>44</v>
      </c>
      <c r="E56" s="7" t="s">
        <v>49</v>
      </c>
      <c r="F56" s="9">
        <v>1500</v>
      </c>
      <c r="G56" s="9">
        <v>1431</v>
      </c>
      <c r="H56" s="7" t="s">
        <v>40</v>
      </c>
      <c r="I56" s="9">
        <v>7</v>
      </c>
      <c r="J56" s="7" t="s">
        <v>41</v>
      </c>
      <c r="K56" s="7" t="s">
        <v>47</v>
      </c>
      <c r="L56" s="7" t="s">
        <v>48</v>
      </c>
      <c r="M56" s="10">
        <f t="shared" si="0"/>
        <v>0.95399999999999996</v>
      </c>
      <c r="N56" s="11">
        <f t="shared" si="1"/>
        <v>4.8916841369671558E-3</v>
      </c>
    </row>
    <row r="57" spans="1:14" ht="16.5" x14ac:dyDescent="0.25">
      <c r="A57" s="24">
        <v>46078</v>
      </c>
      <c r="B57" s="7">
        <v>46078</v>
      </c>
      <c r="C57" s="25" t="str">
        <f t="shared" si="2"/>
        <v>25</v>
      </c>
      <c r="D57" s="8" t="s">
        <v>60</v>
      </c>
      <c r="E57" s="8" t="s">
        <v>49</v>
      </c>
      <c r="F57" s="12">
        <v>1500</v>
      </c>
      <c r="G57" s="12">
        <v>1285</v>
      </c>
      <c r="H57" s="8" t="s">
        <v>40</v>
      </c>
      <c r="I57" s="12">
        <v>46</v>
      </c>
      <c r="J57" s="8" t="s">
        <v>41</v>
      </c>
      <c r="K57" s="8" t="s">
        <v>47</v>
      </c>
      <c r="L57" s="8" t="s">
        <v>48</v>
      </c>
      <c r="M57" s="13">
        <f t="shared" si="0"/>
        <v>0.85666666666666669</v>
      </c>
      <c r="N57" s="14">
        <f t="shared" si="1"/>
        <v>3.5797665369649803E-2</v>
      </c>
    </row>
    <row r="58" spans="1:14" ht="16.5" x14ac:dyDescent="0.25">
      <c r="A58" s="24">
        <v>46079</v>
      </c>
      <c r="B58" s="7">
        <v>46079</v>
      </c>
      <c r="C58" s="25" t="str">
        <f t="shared" si="2"/>
        <v>26</v>
      </c>
      <c r="D58" s="7" t="s">
        <v>44</v>
      </c>
      <c r="E58" s="7" t="s">
        <v>39</v>
      </c>
      <c r="F58" s="9">
        <v>1200</v>
      </c>
      <c r="G58" s="9">
        <v>1155</v>
      </c>
      <c r="H58" s="7" t="s">
        <v>40</v>
      </c>
      <c r="I58" s="9">
        <v>8</v>
      </c>
      <c r="J58" s="7" t="s">
        <v>41</v>
      </c>
      <c r="K58" s="7" t="s">
        <v>63</v>
      </c>
      <c r="L58" s="7" t="s">
        <v>48</v>
      </c>
      <c r="M58" s="10">
        <f t="shared" si="0"/>
        <v>0.96250000000000002</v>
      </c>
      <c r="N58" s="11">
        <f t="shared" si="1"/>
        <v>6.9264069264069264E-3</v>
      </c>
    </row>
    <row r="59" spans="1:14" ht="16.5" x14ac:dyDescent="0.25">
      <c r="A59" s="24">
        <v>46080</v>
      </c>
      <c r="B59" s="7">
        <v>46080</v>
      </c>
      <c r="C59" s="25" t="str">
        <f t="shared" si="2"/>
        <v>27</v>
      </c>
      <c r="D59" s="8" t="s">
        <v>44</v>
      </c>
      <c r="E59" s="8" t="s">
        <v>39</v>
      </c>
      <c r="F59" s="12">
        <v>1200</v>
      </c>
      <c r="G59" s="12">
        <v>1124</v>
      </c>
      <c r="H59" s="8" t="s">
        <v>58</v>
      </c>
      <c r="I59" s="12">
        <v>18</v>
      </c>
      <c r="J59" s="8" t="s">
        <v>59</v>
      </c>
      <c r="K59" s="8" t="s">
        <v>63</v>
      </c>
      <c r="L59" s="8" t="s">
        <v>43</v>
      </c>
      <c r="M59" s="13">
        <f t="shared" si="0"/>
        <v>0.93666666666666665</v>
      </c>
      <c r="N59" s="14">
        <f t="shared" si="1"/>
        <v>1.601423487544484E-2</v>
      </c>
    </row>
    <row r="60" spans="1:14" ht="16.5" x14ac:dyDescent="0.25">
      <c r="A60" s="24">
        <v>46081</v>
      </c>
      <c r="B60" s="7">
        <v>46081</v>
      </c>
      <c r="C60" s="25" t="str">
        <f t="shared" si="2"/>
        <v>28</v>
      </c>
      <c r="D60" s="7" t="s">
        <v>44</v>
      </c>
      <c r="E60" s="7" t="s">
        <v>57</v>
      </c>
      <c r="F60" s="9">
        <v>1500</v>
      </c>
      <c r="G60" s="9">
        <v>1455</v>
      </c>
      <c r="H60" s="7" t="s">
        <v>61</v>
      </c>
      <c r="I60" s="9">
        <v>34</v>
      </c>
      <c r="J60" s="7" t="s">
        <v>62</v>
      </c>
      <c r="K60" s="7" t="s">
        <v>42</v>
      </c>
      <c r="L60" s="7" t="s">
        <v>48</v>
      </c>
      <c r="M60" s="10">
        <f t="shared" si="0"/>
        <v>0.97</v>
      </c>
      <c r="N60" s="11">
        <f t="shared" si="1"/>
        <v>2.3367697594501718E-2</v>
      </c>
    </row>
    <row r="61" spans="1:14" ht="16.5" x14ac:dyDescent="0.25">
      <c r="A61" s="24">
        <v>46082</v>
      </c>
      <c r="B61" s="7">
        <v>46082</v>
      </c>
      <c r="C61" s="25" t="str">
        <f t="shared" si="2"/>
        <v>01</v>
      </c>
      <c r="D61" s="8" t="s">
        <v>44</v>
      </c>
      <c r="E61" s="8" t="s">
        <v>39</v>
      </c>
      <c r="F61" s="12">
        <v>1000</v>
      </c>
      <c r="G61" s="12">
        <v>948</v>
      </c>
      <c r="H61" s="8" t="s">
        <v>58</v>
      </c>
      <c r="I61" s="12">
        <v>41</v>
      </c>
      <c r="J61" s="8" t="s">
        <v>59</v>
      </c>
      <c r="K61" s="8" t="s">
        <v>42</v>
      </c>
      <c r="L61" s="8" t="s">
        <v>48</v>
      </c>
      <c r="M61" s="13">
        <f t="shared" si="0"/>
        <v>0.94799999999999995</v>
      </c>
      <c r="N61" s="14">
        <f t="shared" si="1"/>
        <v>4.3248945147679324E-2</v>
      </c>
    </row>
    <row r="62" spans="1:14" ht="16.5" x14ac:dyDescent="0.25">
      <c r="A62" s="24">
        <v>46083</v>
      </c>
      <c r="B62" s="7">
        <v>46083</v>
      </c>
      <c r="C62" s="25" t="str">
        <f t="shared" si="2"/>
        <v>02</v>
      </c>
      <c r="D62" s="7" t="s">
        <v>44</v>
      </c>
      <c r="E62" s="7" t="s">
        <v>49</v>
      </c>
      <c r="F62" s="9">
        <v>1500</v>
      </c>
      <c r="G62" s="9">
        <v>1331</v>
      </c>
      <c r="H62" s="7" t="s">
        <v>40</v>
      </c>
      <c r="I62" s="9">
        <v>26</v>
      </c>
      <c r="J62" s="7" t="s">
        <v>41</v>
      </c>
      <c r="K62" s="7" t="s">
        <v>47</v>
      </c>
      <c r="L62" s="7" t="s">
        <v>43</v>
      </c>
      <c r="M62" s="10">
        <f t="shared" si="0"/>
        <v>0.88733333333333331</v>
      </c>
      <c r="N62" s="11">
        <f t="shared" si="1"/>
        <v>1.9534184823441023E-2</v>
      </c>
    </row>
    <row r="63" spans="1:14" ht="16.5" x14ac:dyDescent="0.25">
      <c r="A63" s="24">
        <v>46084</v>
      </c>
      <c r="B63" s="7">
        <v>46084</v>
      </c>
      <c r="C63" s="25" t="str">
        <f t="shared" si="2"/>
        <v>03</v>
      </c>
      <c r="D63" s="8" t="s">
        <v>53</v>
      </c>
      <c r="E63" s="8" t="s">
        <v>49</v>
      </c>
      <c r="F63" s="12">
        <v>1200</v>
      </c>
      <c r="G63" s="12">
        <v>1009</v>
      </c>
      <c r="H63" s="8" t="s">
        <v>54</v>
      </c>
      <c r="I63" s="12">
        <v>23</v>
      </c>
      <c r="J63" s="8" t="s">
        <v>55</v>
      </c>
      <c r="K63" s="8" t="s">
        <v>42</v>
      </c>
      <c r="L63" s="8" t="s">
        <v>43</v>
      </c>
      <c r="M63" s="13">
        <f t="shared" si="0"/>
        <v>0.84083333333333332</v>
      </c>
      <c r="N63" s="14">
        <f t="shared" si="1"/>
        <v>2.2794846382556987E-2</v>
      </c>
    </row>
    <row r="64" spans="1:14" ht="16.5" x14ac:dyDescent="0.25">
      <c r="A64" s="24">
        <v>46085</v>
      </c>
      <c r="B64" s="7">
        <v>46085</v>
      </c>
      <c r="C64" s="25" t="str">
        <f t="shared" si="2"/>
        <v>04</v>
      </c>
      <c r="D64" s="7" t="s">
        <v>38</v>
      </c>
      <c r="E64" s="7" t="s">
        <v>49</v>
      </c>
      <c r="F64" s="9">
        <v>1000</v>
      </c>
      <c r="G64" s="9">
        <v>846</v>
      </c>
      <c r="H64" s="7" t="s">
        <v>61</v>
      </c>
      <c r="I64" s="9">
        <v>44</v>
      </c>
      <c r="J64" s="7" t="s">
        <v>62</v>
      </c>
      <c r="K64" s="7" t="s">
        <v>47</v>
      </c>
      <c r="L64" s="7" t="s">
        <v>48</v>
      </c>
      <c r="M64" s="10">
        <f t="shared" si="0"/>
        <v>0.84599999999999997</v>
      </c>
      <c r="N64" s="11">
        <f t="shared" si="1"/>
        <v>5.2009456264775412E-2</v>
      </c>
    </row>
    <row r="65" spans="1:14" ht="16.5" x14ac:dyDescent="0.25">
      <c r="A65" s="24">
        <v>46086</v>
      </c>
      <c r="B65" s="7">
        <v>46086</v>
      </c>
      <c r="C65" s="25" t="str">
        <f t="shared" si="2"/>
        <v>05</v>
      </c>
      <c r="D65" s="8" t="s">
        <v>38</v>
      </c>
      <c r="E65" s="8" t="s">
        <v>39</v>
      </c>
      <c r="F65" s="12">
        <v>1000</v>
      </c>
      <c r="G65" s="12">
        <v>1001</v>
      </c>
      <c r="H65" s="8" t="s">
        <v>50</v>
      </c>
      <c r="I65" s="12">
        <v>44</v>
      </c>
      <c r="J65" s="8" t="s">
        <v>51</v>
      </c>
      <c r="K65" s="8" t="s">
        <v>63</v>
      </c>
      <c r="L65" s="8" t="s">
        <v>48</v>
      </c>
      <c r="M65" s="13">
        <f t="shared" si="0"/>
        <v>1.0009999999999999</v>
      </c>
      <c r="N65" s="14">
        <f t="shared" si="1"/>
        <v>4.3956043956043959E-2</v>
      </c>
    </row>
    <row r="66" spans="1:14" ht="16.5" x14ac:dyDescent="0.25">
      <c r="A66" s="24">
        <v>46087</v>
      </c>
      <c r="B66" s="7">
        <v>46087</v>
      </c>
      <c r="C66" s="25" t="str">
        <f t="shared" si="2"/>
        <v>06</v>
      </c>
      <c r="D66" s="7" t="s">
        <v>38</v>
      </c>
      <c r="E66" s="7" t="s">
        <v>57</v>
      </c>
      <c r="F66" s="9">
        <v>1500</v>
      </c>
      <c r="G66" s="9">
        <v>1296</v>
      </c>
      <c r="H66" s="7" t="s">
        <v>58</v>
      </c>
      <c r="I66" s="9">
        <v>52</v>
      </c>
      <c r="J66" s="7" t="s">
        <v>59</v>
      </c>
      <c r="K66" s="7" t="s">
        <v>52</v>
      </c>
      <c r="L66" s="7" t="s">
        <v>43</v>
      </c>
      <c r="M66" s="10">
        <f t="shared" ref="M66:M129" si="3">G66/F66</f>
        <v>0.86399999999999999</v>
      </c>
      <c r="N66" s="11">
        <f t="shared" ref="N66:N129" si="4">I66/G66</f>
        <v>4.0123456790123455E-2</v>
      </c>
    </row>
    <row r="67" spans="1:14" ht="16.5" x14ac:dyDescent="0.25">
      <c r="A67" s="24">
        <v>46088</v>
      </c>
      <c r="B67" s="7">
        <v>46088</v>
      </c>
      <c r="C67" s="25" t="str">
        <f t="shared" ref="C67:C130" si="5">TEXT(B67,"dd")</f>
        <v>07</v>
      </c>
      <c r="D67" s="8" t="s">
        <v>38</v>
      </c>
      <c r="E67" s="8" t="s">
        <v>57</v>
      </c>
      <c r="F67" s="12">
        <v>1200</v>
      </c>
      <c r="G67" s="12">
        <v>1113</v>
      </c>
      <c r="H67" s="8" t="s">
        <v>50</v>
      </c>
      <c r="I67" s="12">
        <v>29</v>
      </c>
      <c r="J67" s="8" t="s">
        <v>51</v>
      </c>
      <c r="K67" s="8" t="s">
        <v>52</v>
      </c>
      <c r="L67" s="8" t="s">
        <v>48</v>
      </c>
      <c r="M67" s="13">
        <f t="shared" si="3"/>
        <v>0.92749999999999999</v>
      </c>
      <c r="N67" s="14">
        <f t="shared" si="4"/>
        <v>2.605570530098832E-2</v>
      </c>
    </row>
    <row r="68" spans="1:14" ht="16.5" x14ac:dyDescent="0.25">
      <c r="A68" s="24">
        <v>46089</v>
      </c>
      <c r="B68" s="7">
        <v>46089</v>
      </c>
      <c r="C68" s="25" t="str">
        <f t="shared" si="5"/>
        <v>08</v>
      </c>
      <c r="D68" s="7" t="s">
        <v>38</v>
      </c>
      <c r="E68" s="7" t="s">
        <v>49</v>
      </c>
      <c r="F68" s="9">
        <v>1000</v>
      </c>
      <c r="G68" s="9">
        <v>834</v>
      </c>
      <c r="H68" s="7" t="s">
        <v>45</v>
      </c>
      <c r="I68" s="9">
        <v>36</v>
      </c>
      <c r="J68" s="7" t="s">
        <v>46</v>
      </c>
      <c r="K68" s="7" t="s">
        <v>42</v>
      </c>
      <c r="L68" s="7" t="s">
        <v>48</v>
      </c>
      <c r="M68" s="10">
        <f t="shared" si="3"/>
        <v>0.83399999999999996</v>
      </c>
      <c r="N68" s="11">
        <f t="shared" si="4"/>
        <v>4.3165467625899283E-2</v>
      </c>
    </row>
    <row r="69" spans="1:14" ht="16.5" x14ac:dyDescent="0.25">
      <c r="A69" s="24">
        <v>46090</v>
      </c>
      <c r="B69" s="7">
        <v>46090</v>
      </c>
      <c r="C69" s="25" t="str">
        <f t="shared" si="5"/>
        <v>09</v>
      </c>
      <c r="D69" s="8" t="s">
        <v>44</v>
      </c>
      <c r="E69" s="8" t="s">
        <v>49</v>
      </c>
      <c r="F69" s="12">
        <v>1000</v>
      </c>
      <c r="G69" s="12">
        <v>944</v>
      </c>
      <c r="H69" s="8" t="s">
        <v>40</v>
      </c>
      <c r="I69" s="12">
        <v>27</v>
      </c>
      <c r="J69" s="8" t="s">
        <v>41</v>
      </c>
      <c r="K69" s="8" t="s">
        <v>63</v>
      </c>
      <c r="L69" s="8" t="s">
        <v>48</v>
      </c>
      <c r="M69" s="13">
        <f t="shared" si="3"/>
        <v>0.94399999999999995</v>
      </c>
      <c r="N69" s="14">
        <f t="shared" si="4"/>
        <v>2.8601694915254237E-2</v>
      </c>
    </row>
    <row r="70" spans="1:14" ht="16.5" x14ac:dyDescent="0.25">
      <c r="A70" s="24">
        <v>46091</v>
      </c>
      <c r="B70" s="7">
        <v>46091</v>
      </c>
      <c r="C70" s="25" t="str">
        <f t="shared" si="5"/>
        <v>10</v>
      </c>
      <c r="D70" s="7" t="s">
        <v>38</v>
      </c>
      <c r="E70" s="7" t="s">
        <v>39</v>
      </c>
      <c r="F70" s="9">
        <v>1500</v>
      </c>
      <c r="G70" s="9">
        <v>1287</v>
      </c>
      <c r="H70" s="7" t="s">
        <v>58</v>
      </c>
      <c r="I70" s="9">
        <v>7</v>
      </c>
      <c r="J70" s="7" t="s">
        <v>59</v>
      </c>
      <c r="K70" s="7" t="s">
        <v>63</v>
      </c>
      <c r="L70" s="7" t="s">
        <v>48</v>
      </c>
      <c r="M70" s="10">
        <f t="shared" si="3"/>
        <v>0.85799999999999998</v>
      </c>
      <c r="N70" s="11">
        <f t="shared" si="4"/>
        <v>5.439005439005439E-3</v>
      </c>
    </row>
    <row r="71" spans="1:14" ht="16.5" x14ac:dyDescent="0.25">
      <c r="A71" s="24">
        <v>46092</v>
      </c>
      <c r="B71" s="7">
        <v>46092</v>
      </c>
      <c r="C71" s="25" t="str">
        <f t="shared" si="5"/>
        <v>11</v>
      </c>
      <c r="D71" s="8" t="s">
        <v>60</v>
      </c>
      <c r="E71" s="8" t="s">
        <v>39</v>
      </c>
      <c r="F71" s="12">
        <v>1200</v>
      </c>
      <c r="G71" s="12">
        <v>1206</v>
      </c>
      <c r="H71" s="8" t="s">
        <v>61</v>
      </c>
      <c r="I71" s="12">
        <v>19</v>
      </c>
      <c r="J71" s="8" t="s">
        <v>62</v>
      </c>
      <c r="K71" s="8" t="s">
        <v>52</v>
      </c>
      <c r="L71" s="8" t="s">
        <v>48</v>
      </c>
      <c r="M71" s="13">
        <f t="shared" si="3"/>
        <v>1.0049999999999999</v>
      </c>
      <c r="N71" s="14">
        <f t="shared" si="4"/>
        <v>1.5754560530679935E-2</v>
      </c>
    </row>
    <row r="72" spans="1:14" ht="16.5" x14ac:dyDescent="0.25">
      <c r="A72" s="24">
        <v>46093</v>
      </c>
      <c r="B72" s="7">
        <v>46093</v>
      </c>
      <c r="C72" s="25" t="str">
        <f t="shared" si="5"/>
        <v>12</v>
      </c>
      <c r="D72" s="7" t="s">
        <v>44</v>
      </c>
      <c r="E72" s="7" t="s">
        <v>39</v>
      </c>
      <c r="F72" s="9">
        <v>1200</v>
      </c>
      <c r="G72" s="9">
        <v>1113</v>
      </c>
      <c r="H72" s="7" t="s">
        <v>54</v>
      </c>
      <c r="I72" s="9">
        <v>32</v>
      </c>
      <c r="J72" s="7" t="s">
        <v>55</v>
      </c>
      <c r="K72" s="7" t="s">
        <v>42</v>
      </c>
      <c r="L72" s="7" t="s">
        <v>48</v>
      </c>
      <c r="M72" s="10">
        <f t="shared" si="3"/>
        <v>0.92749999999999999</v>
      </c>
      <c r="N72" s="11">
        <f t="shared" si="4"/>
        <v>2.8751123090745734E-2</v>
      </c>
    </row>
    <row r="73" spans="1:14" ht="16.5" x14ac:dyDescent="0.25">
      <c r="A73" s="24">
        <v>46094</v>
      </c>
      <c r="B73" s="7">
        <v>46094</v>
      </c>
      <c r="C73" s="25" t="str">
        <f t="shared" si="5"/>
        <v>13</v>
      </c>
      <c r="D73" s="8" t="s">
        <v>44</v>
      </c>
      <c r="E73" s="8" t="s">
        <v>57</v>
      </c>
      <c r="F73" s="12">
        <v>1000</v>
      </c>
      <c r="G73" s="12">
        <v>863</v>
      </c>
      <c r="H73" s="8" t="s">
        <v>50</v>
      </c>
      <c r="I73" s="12">
        <v>11</v>
      </c>
      <c r="J73" s="8" t="s">
        <v>51</v>
      </c>
      <c r="K73" s="8" t="s">
        <v>42</v>
      </c>
      <c r="L73" s="8" t="s">
        <v>48</v>
      </c>
      <c r="M73" s="13">
        <f t="shared" si="3"/>
        <v>0.86299999999999999</v>
      </c>
      <c r="N73" s="14">
        <f t="shared" si="4"/>
        <v>1.2746234067207415E-2</v>
      </c>
    </row>
    <row r="74" spans="1:14" ht="16.5" x14ac:dyDescent="0.25">
      <c r="A74" s="24">
        <v>46095</v>
      </c>
      <c r="B74" s="7">
        <v>46095</v>
      </c>
      <c r="C74" s="25" t="str">
        <f t="shared" si="5"/>
        <v>14</v>
      </c>
      <c r="D74" s="7" t="s">
        <v>53</v>
      </c>
      <c r="E74" s="7" t="s">
        <v>57</v>
      </c>
      <c r="F74" s="9">
        <v>1200</v>
      </c>
      <c r="G74" s="9">
        <v>1033</v>
      </c>
      <c r="H74" s="7" t="s">
        <v>40</v>
      </c>
      <c r="I74" s="9">
        <v>28</v>
      </c>
      <c r="J74" s="7" t="s">
        <v>41</v>
      </c>
      <c r="K74" s="7" t="s">
        <v>47</v>
      </c>
      <c r="L74" s="7" t="s">
        <v>48</v>
      </c>
      <c r="M74" s="10">
        <f t="shared" si="3"/>
        <v>0.86083333333333334</v>
      </c>
      <c r="N74" s="11">
        <f t="shared" si="4"/>
        <v>2.7105517909002903E-2</v>
      </c>
    </row>
    <row r="75" spans="1:14" ht="16.5" x14ac:dyDescent="0.25">
      <c r="A75" s="24">
        <v>46096</v>
      </c>
      <c r="B75" s="7">
        <v>46096</v>
      </c>
      <c r="C75" s="25" t="str">
        <f t="shared" si="5"/>
        <v>15</v>
      </c>
      <c r="D75" s="8" t="s">
        <v>53</v>
      </c>
      <c r="E75" s="8" t="s">
        <v>39</v>
      </c>
      <c r="F75" s="12">
        <v>1200</v>
      </c>
      <c r="G75" s="12">
        <v>1122</v>
      </c>
      <c r="H75" s="8" t="s">
        <v>40</v>
      </c>
      <c r="I75" s="12">
        <v>40</v>
      </c>
      <c r="J75" s="8" t="s">
        <v>41</v>
      </c>
      <c r="K75" s="8" t="s">
        <v>52</v>
      </c>
      <c r="L75" s="8" t="s">
        <v>48</v>
      </c>
      <c r="M75" s="13">
        <f t="shared" si="3"/>
        <v>0.93500000000000005</v>
      </c>
      <c r="N75" s="14">
        <f t="shared" si="4"/>
        <v>3.5650623885918005E-2</v>
      </c>
    </row>
    <row r="76" spans="1:14" ht="16.5" x14ac:dyDescent="0.25">
      <c r="A76" s="24">
        <v>46097</v>
      </c>
      <c r="B76" s="7">
        <v>46097</v>
      </c>
      <c r="C76" s="25" t="str">
        <f t="shared" si="5"/>
        <v>16</v>
      </c>
      <c r="D76" s="7" t="s">
        <v>44</v>
      </c>
      <c r="E76" s="7" t="s">
        <v>57</v>
      </c>
      <c r="F76" s="9">
        <v>1200</v>
      </c>
      <c r="G76" s="9">
        <v>1005</v>
      </c>
      <c r="H76" s="7" t="s">
        <v>58</v>
      </c>
      <c r="I76" s="9">
        <v>26</v>
      </c>
      <c r="J76" s="7" t="s">
        <v>59</v>
      </c>
      <c r="K76" s="7" t="s">
        <v>52</v>
      </c>
      <c r="L76" s="7" t="s">
        <v>48</v>
      </c>
      <c r="M76" s="10">
        <f t="shared" si="3"/>
        <v>0.83750000000000002</v>
      </c>
      <c r="N76" s="11">
        <f t="shared" si="4"/>
        <v>2.5870646766169153E-2</v>
      </c>
    </row>
    <row r="77" spans="1:14" ht="16.5" x14ac:dyDescent="0.25">
      <c r="A77" s="24">
        <v>46098</v>
      </c>
      <c r="B77" s="7">
        <v>46098</v>
      </c>
      <c r="C77" s="25" t="str">
        <f t="shared" si="5"/>
        <v>17</v>
      </c>
      <c r="D77" s="8" t="s">
        <v>44</v>
      </c>
      <c r="E77" s="8" t="s">
        <v>39</v>
      </c>
      <c r="F77" s="12">
        <v>1500</v>
      </c>
      <c r="G77" s="12">
        <v>1449</v>
      </c>
      <c r="H77" s="8" t="s">
        <v>54</v>
      </c>
      <c r="I77" s="12">
        <v>27</v>
      </c>
      <c r="J77" s="8" t="s">
        <v>55</v>
      </c>
      <c r="K77" s="8" t="s">
        <v>42</v>
      </c>
      <c r="L77" s="8" t="s">
        <v>48</v>
      </c>
      <c r="M77" s="13">
        <f t="shared" si="3"/>
        <v>0.96599999999999997</v>
      </c>
      <c r="N77" s="14">
        <f t="shared" si="4"/>
        <v>1.8633540372670808E-2</v>
      </c>
    </row>
    <row r="78" spans="1:14" ht="16.5" x14ac:dyDescent="0.25">
      <c r="A78" s="24">
        <v>46099</v>
      </c>
      <c r="B78" s="7">
        <v>46099</v>
      </c>
      <c r="C78" s="25" t="str">
        <f t="shared" si="5"/>
        <v>18</v>
      </c>
      <c r="D78" s="7" t="s">
        <v>53</v>
      </c>
      <c r="E78" s="7" t="s">
        <v>39</v>
      </c>
      <c r="F78" s="9">
        <v>1200</v>
      </c>
      <c r="G78" s="9">
        <v>1132</v>
      </c>
      <c r="H78" s="7" t="s">
        <v>40</v>
      </c>
      <c r="I78" s="9">
        <v>28</v>
      </c>
      <c r="J78" s="7" t="s">
        <v>41</v>
      </c>
      <c r="K78" s="7" t="s">
        <v>63</v>
      </c>
      <c r="L78" s="7" t="s">
        <v>43</v>
      </c>
      <c r="M78" s="10">
        <f t="shared" si="3"/>
        <v>0.94333333333333336</v>
      </c>
      <c r="N78" s="11">
        <f t="shared" si="4"/>
        <v>2.4734982332155476E-2</v>
      </c>
    </row>
    <row r="79" spans="1:14" ht="16.5" x14ac:dyDescent="0.25">
      <c r="A79" s="24">
        <v>46100</v>
      </c>
      <c r="B79" s="7">
        <v>46100</v>
      </c>
      <c r="C79" s="25" t="str">
        <f t="shared" si="5"/>
        <v>19</v>
      </c>
      <c r="D79" s="8" t="s">
        <v>44</v>
      </c>
      <c r="E79" s="8" t="s">
        <v>49</v>
      </c>
      <c r="F79" s="12">
        <v>1000</v>
      </c>
      <c r="G79" s="12">
        <v>961</v>
      </c>
      <c r="H79" s="8" t="s">
        <v>58</v>
      </c>
      <c r="I79" s="12">
        <v>10</v>
      </c>
      <c r="J79" s="8" t="s">
        <v>59</v>
      </c>
      <c r="K79" s="8" t="s">
        <v>42</v>
      </c>
      <c r="L79" s="8" t="s">
        <v>48</v>
      </c>
      <c r="M79" s="13">
        <f t="shared" si="3"/>
        <v>0.96099999999999997</v>
      </c>
      <c r="N79" s="14">
        <f t="shared" si="4"/>
        <v>1.040582726326743E-2</v>
      </c>
    </row>
    <row r="80" spans="1:14" ht="16.5" x14ac:dyDescent="0.25">
      <c r="A80" s="24">
        <v>46101</v>
      </c>
      <c r="B80" s="7">
        <v>46101</v>
      </c>
      <c r="C80" s="25" t="str">
        <f t="shared" si="5"/>
        <v>20</v>
      </c>
      <c r="D80" s="7" t="s">
        <v>44</v>
      </c>
      <c r="E80" s="7" t="s">
        <v>39</v>
      </c>
      <c r="F80" s="9">
        <v>1200</v>
      </c>
      <c r="G80" s="9">
        <v>1108</v>
      </c>
      <c r="H80" s="7" t="s">
        <v>40</v>
      </c>
      <c r="I80" s="9">
        <v>33</v>
      </c>
      <c r="J80" s="7" t="s">
        <v>41</v>
      </c>
      <c r="K80" s="7" t="s">
        <v>47</v>
      </c>
      <c r="L80" s="7" t="s">
        <v>43</v>
      </c>
      <c r="M80" s="10">
        <f t="shared" si="3"/>
        <v>0.92333333333333334</v>
      </c>
      <c r="N80" s="11">
        <f t="shared" si="4"/>
        <v>2.9783393501805054E-2</v>
      </c>
    </row>
    <row r="81" spans="1:14" ht="16.5" x14ac:dyDescent="0.25">
      <c r="A81" s="24">
        <v>46102</v>
      </c>
      <c r="B81" s="7">
        <v>46102</v>
      </c>
      <c r="C81" s="25" t="str">
        <f t="shared" si="5"/>
        <v>21</v>
      </c>
      <c r="D81" s="8" t="s">
        <v>38</v>
      </c>
      <c r="E81" s="8" t="s">
        <v>57</v>
      </c>
      <c r="F81" s="12">
        <v>1500</v>
      </c>
      <c r="G81" s="12">
        <v>1366</v>
      </c>
      <c r="H81" s="8" t="s">
        <v>40</v>
      </c>
      <c r="I81" s="12">
        <v>27</v>
      </c>
      <c r="J81" s="8" t="s">
        <v>41</v>
      </c>
      <c r="K81" s="8" t="s">
        <v>52</v>
      </c>
      <c r="L81" s="8" t="s">
        <v>48</v>
      </c>
      <c r="M81" s="13">
        <f t="shared" si="3"/>
        <v>0.91066666666666662</v>
      </c>
      <c r="N81" s="14">
        <f t="shared" si="4"/>
        <v>1.9765739385065886E-2</v>
      </c>
    </row>
    <row r="82" spans="1:14" ht="16.5" x14ac:dyDescent="0.25">
      <c r="A82" s="24">
        <v>46103</v>
      </c>
      <c r="B82" s="7">
        <v>46103</v>
      </c>
      <c r="C82" s="25" t="str">
        <f t="shared" si="5"/>
        <v>22</v>
      </c>
      <c r="D82" s="7" t="s">
        <v>60</v>
      </c>
      <c r="E82" s="7" t="s">
        <v>49</v>
      </c>
      <c r="F82" s="9">
        <v>1000</v>
      </c>
      <c r="G82" s="9">
        <v>909</v>
      </c>
      <c r="H82" s="7" t="s">
        <v>50</v>
      </c>
      <c r="I82" s="9">
        <v>16</v>
      </c>
      <c r="J82" s="7" t="s">
        <v>51</v>
      </c>
      <c r="K82" s="7" t="s">
        <v>47</v>
      </c>
      <c r="L82" s="7" t="s">
        <v>48</v>
      </c>
      <c r="M82" s="10">
        <f t="shared" si="3"/>
        <v>0.90900000000000003</v>
      </c>
      <c r="N82" s="11">
        <f t="shared" si="4"/>
        <v>1.7601760176017601E-2</v>
      </c>
    </row>
    <row r="83" spans="1:14" ht="16.5" x14ac:dyDescent="0.25">
      <c r="A83" s="24">
        <v>46104</v>
      </c>
      <c r="B83" s="7">
        <v>46104</v>
      </c>
      <c r="C83" s="25" t="str">
        <f t="shared" si="5"/>
        <v>23</v>
      </c>
      <c r="D83" s="8" t="s">
        <v>38</v>
      </c>
      <c r="E83" s="8" t="s">
        <v>39</v>
      </c>
      <c r="F83" s="12">
        <v>1000</v>
      </c>
      <c r="G83" s="12">
        <v>1005</v>
      </c>
      <c r="H83" s="8" t="s">
        <v>40</v>
      </c>
      <c r="I83" s="12">
        <v>41</v>
      </c>
      <c r="J83" s="8" t="s">
        <v>41</v>
      </c>
      <c r="K83" s="8" t="s">
        <v>42</v>
      </c>
      <c r="L83" s="8" t="s">
        <v>48</v>
      </c>
      <c r="M83" s="13">
        <f t="shared" si="3"/>
        <v>1.0049999999999999</v>
      </c>
      <c r="N83" s="14">
        <f t="shared" si="4"/>
        <v>4.0796019900497513E-2</v>
      </c>
    </row>
    <row r="84" spans="1:14" ht="16.5" x14ac:dyDescent="0.25">
      <c r="A84" s="24">
        <v>46105</v>
      </c>
      <c r="B84" s="7">
        <v>46105</v>
      </c>
      <c r="C84" s="25" t="str">
        <f t="shared" si="5"/>
        <v>24</v>
      </c>
      <c r="D84" s="7" t="s">
        <v>60</v>
      </c>
      <c r="E84" s="7" t="s">
        <v>49</v>
      </c>
      <c r="F84" s="9">
        <v>1500</v>
      </c>
      <c r="G84" s="9">
        <v>1468</v>
      </c>
      <c r="H84" s="7" t="s">
        <v>40</v>
      </c>
      <c r="I84" s="9">
        <v>32</v>
      </c>
      <c r="J84" s="7" t="s">
        <v>41</v>
      </c>
      <c r="K84" s="7" t="s">
        <v>47</v>
      </c>
      <c r="L84" s="7" t="s">
        <v>48</v>
      </c>
      <c r="M84" s="10">
        <f t="shared" si="3"/>
        <v>0.97866666666666668</v>
      </c>
      <c r="N84" s="11">
        <f t="shared" si="4"/>
        <v>2.1798365122615803E-2</v>
      </c>
    </row>
    <row r="85" spans="1:14" ht="16.5" x14ac:dyDescent="0.25">
      <c r="A85" s="24">
        <v>46106</v>
      </c>
      <c r="B85" s="7">
        <v>46106</v>
      </c>
      <c r="C85" s="25" t="str">
        <f t="shared" si="5"/>
        <v>25</v>
      </c>
      <c r="D85" s="8" t="s">
        <v>44</v>
      </c>
      <c r="E85" s="8" t="s">
        <v>49</v>
      </c>
      <c r="F85" s="12">
        <v>1000</v>
      </c>
      <c r="G85" s="12">
        <v>949</v>
      </c>
      <c r="H85" s="8" t="s">
        <v>50</v>
      </c>
      <c r="I85" s="12">
        <v>14</v>
      </c>
      <c r="J85" s="8" t="s">
        <v>51</v>
      </c>
      <c r="K85" s="8" t="s">
        <v>47</v>
      </c>
      <c r="L85" s="8" t="s">
        <v>48</v>
      </c>
      <c r="M85" s="13">
        <f t="shared" si="3"/>
        <v>0.94899999999999995</v>
      </c>
      <c r="N85" s="14">
        <f t="shared" si="4"/>
        <v>1.4752370916754479E-2</v>
      </c>
    </row>
    <row r="86" spans="1:14" ht="16.5" x14ac:dyDescent="0.25">
      <c r="A86" s="24">
        <v>46107</v>
      </c>
      <c r="B86" s="7">
        <v>46107</v>
      </c>
      <c r="C86" s="25" t="str">
        <f t="shared" si="5"/>
        <v>26</v>
      </c>
      <c r="D86" s="7" t="s">
        <v>38</v>
      </c>
      <c r="E86" s="7" t="s">
        <v>39</v>
      </c>
      <c r="F86" s="9">
        <v>1000</v>
      </c>
      <c r="G86" s="9">
        <v>869</v>
      </c>
      <c r="H86" s="7" t="s">
        <v>40</v>
      </c>
      <c r="I86" s="9">
        <v>42</v>
      </c>
      <c r="J86" s="7" t="s">
        <v>41</v>
      </c>
      <c r="K86" s="7" t="s">
        <v>52</v>
      </c>
      <c r="L86" s="7" t="s">
        <v>56</v>
      </c>
      <c r="M86" s="10">
        <f t="shared" si="3"/>
        <v>0.86899999999999999</v>
      </c>
      <c r="N86" s="11">
        <f t="shared" si="4"/>
        <v>4.8331415420023012E-2</v>
      </c>
    </row>
    <row r="87" spans="1:14" ht="16.5" x14ac:dyDescent="0.25">
      <c r="A87" s="24">
        <v>46108</v>
      </c>
      <c r="B87" s="7">
        <v>46108</v>
      </c>
      <c r="C87" s="25" t="str">
        <f t="shared" si="5"/>
        <v>27</v>
      </c>
      <c r="D87" s="8" t="s">
        <v>38</v>
      </c>
      <c r="E87" s="8" t="s">
        <v>39</v>
      </c>
      <c r="F87" s="12">
        <v>1000</v>
      </c>
      <c r="G87" s="12">
        <v>820</v>
      </c>
      <c r="H87" s="8" t="s">
        <v>40</v>
      </c>
      <c r="I87" s="12">
        <v>37</v>
      </c>
      <c r="J87" s="8" t="s">
        <v>41</v>
      </c>
      <c r="K87" s="8" t="s">
        <v>63</v>
      </c>
      <c r="L87" s="8" t="s">
        <v>56</v>
      </c>
      <c r="M87" s="13">
        <f t="shared" si="3"/>
        <v>0.82</v>
      </c>
      <c r="N87" s="14">
        <f t="shared" si="4"/>
        <v>4.5121951219512194E-2</v>
      </c>
    </row>
    <row r="88" spans="1:14" ht="16.5" x14ac:dyDescent="0.25">
      <c r="A88" s="24">
        <v>46109</v>
      </c>
      <c r="B88" s="7">
        <v>46109</v>
      </c>
      <c r="C88" s="25" t="str">
        <f t="shared" si="5"/>
        <v>28</v>
      </c>
      <c r="D88" s="7" t="s">
        <v>44</v>
      </c>
      <c r="E88" s="7" t="s">
        <v>49</v>
      </c>
      <c r="F88" s="9">
        <v>1500</v>
      </c>
      <c r="G88" s="9">
        <v>1265</v>
      </c>
      <c r="H88" s="7" t="s">
        <v>45</v>
      </c>
      <c r="I88" s="9">
        <v>14</v>
      </c>
      <c r="J88" s="7" t="s">
        <v>46</v>
      </c>
      <c r="K88" s="7" t="s">
        <v>47</v>
      </c>
      <c r="L88" s="7" t="s">
        <v>48</v>
      </c>
      <c r="M88" s="10">
        <f t="shared" si="3"/>
        <v>0.84333333333333338</v>
      </c>
      <c r="N88" s="11">
        <f t="shared" si="4"/>
        <v>1.1067193675889328E-2</v>
      </c>
    </row>
    <row r="89" spans="1:14" ht="16.5" x14ac:dyDescent="0.25">
      <c r="A89" s="24">
        <v>46110</v>
      </c>
      <c r="B89" s="7">
        <v>46110</v>
      </c>
      <c r="C89" s="25" t="str">
        <f t="shared" si="5"/>
        <v>29</v>
      </c>
      <c r="D89" s="8" t="s">
        <v>44</v>
      </c>
      <c r="E89" s="8" t="s">
        <v>57</v>
      </c>
      <c r="F89" s="12">
        <v>1200</v>
      </c>
      <c r="G89" s="12">
        <v>1194</v>
      </c>
      <c r="H89" s="8" t="s">
        <v>40</v>
      </c>
      <c r="I89" s="12">
        <v>27</v>
      </c>
      <c r="J89" s="8" t="s">
        <v>41</v>
      </c>
      <c r="K89" s="8" t="s">
        <v>47</v>
      </c>
      <c r="L89" s="8" t="s">
        <v>43</v>
      </c>
      <c r="M89" s="13">
        <f t="shared" si="3"/>
        <v>0.995</v>
      </c>
      <c r="N89" s="14">
        <f t="shared" si="4"/>
        <v>2.2613065326633167E-2</v>
      </c>
    </row>
    <row r="90" spans="1:14" ht="16.5" x14ac:dyDescent="0.25">
      <c r="A90" s="24">
        <v>46111</v>
      </c>
      <c r="B90" s="7">
        <v>46111</v>
      </c>
      <c r="C90" s="25" t="str">
        <f t="shared" si="5"/>
        <v>30</v>
      </c>
      <c r="D90" s="7" t="s">
        <v>44</v>
      </c>
      <c r="E90" s="7" t="s">
        <v>57</v>
      </c>
      <c r="F90" s="9">
        <v>1500</v>
      </c>
      <c r="G90" s="9">
        <v>1510</v>
      </c>
      <c r="H90" s="7" t="s">
        <v>61</v>
      </c>
      <c r="I90" s="9">
        <v>44</v>
      </c>
      <c r="J90" s="7" t="s">
        <v>62</v>
      </c>
      <c r="K90" s="7" t="s">
        <v>52</v>
      </c>
      <c r="L90" s="7" t="s">
        <v>48</v>
      </c>
      <c r="M90" s="10">
        <f t="shared" si="3"/>
        <v>1.0066666666666666</v>
      </c>
      <c r="N90" s="11">
        <f t="shared" si="4"/>
        <v>2.9139072847682121E-2</v>
      </c>
    </row>
    <row r="91" spans="1:14" ht="16.5" x14ac:dyDescent="0.25">
      <c r="A91" s="24">
        <v>46112</v>
      </c>
      <c r="B91" s="7">
        <v>46112</v>
      </c>
      <c r="C91" s="25" t="str">
        <f t="shared" si="5"/>
        <v>31</v>
      </c>
      <c r="D91" s="8" t="s">
        <v>60</v>
      </c>
      <c r="E91" s="8" t="s">
        <v>49</v>
      </c>
      <c r="F91" s="12">
        <v>1200</v>
      </c>
      <c r="G91" s="12">
        <v>1007</v>
      </c>
      <c r="H91" s="8" t="s">
        <v>50</v>
      </c>
      <c r="I91" s="12">
        <v>33</v>
      </c>
      <c r="J91" s="8" t="s">
        <v>51</v>
      </c>
      <c r="K91" s="8" t="s">
        <v>47</v>
      </c>
      <c r="L91" s="8" t="s">
        <v>48</v>
      </c>
      <c r="M91" s="13">
        <f t="shared" si="3"/>
        <v>0.83916666666666662</v>
      </c>
      <c r="N91" s="14">
        <f t="shared" si="4"/>
        <v>3.2770605759682221E-2</v>
      </c>
    </row>
    <row r="92" spans="1:14" ht="16.5" x14ac:dyDescent="0.25">
      <c r="A92" s="24">
        <v>46113</v>
      </c>
      <c r="B92" s="7">
        <v>46113</v>
      </c>
      <c r="C92" s="25" t="str">
        <f t="shared" si="5"/>
        <v>01</v>
      </c>
      <c r="D92" s="7" t="s">
        <v>44</v>
      </c>
      <c r="E92" s="7" t="s">
        <v>39</v>
      </c>
      <c r="F92" s="9">
        <v>1200</v>
      </c>
      <c r="G92" s="9">
        <v>1085</v>
      </c>
      <c r="H92" s="7" t="s">
        <v>54</v>
      </c>
      <c r="I92" s="9">
        <v>16</v>
      </c>
      <c r="J92" s="7" t="s">
        <v>55</v>
      </c>
      <c r="K92" s="7" t="s">
        <v>42</v>
      </c>
      <c r="L92" s="7" t="s">
        <v>48</v>
      </c>
      <c r="M92" s="10">
        <f t="shared" si="3"/>
        <v>0.90416666666666667</v>
      </c>
      <c r="N92" s="11">
        <f t="shared" si="4"/>
        <v>1.4746543778801843E-2</v>
      </c>
    </row>
    <row r="93" spans="1:14" ht="16.5" x14ac:dyDescent="0.25">
      <c r="A93" s="24">
        <v>46114</v>
      </c>
      <c r="B93" s="7">
        <v>46114</v>
      </c>
      <c r="C93" s="25" t="str">
        <f t="shared" si="5"/>
        <v>02</v>
      </c>
      <c r="D93" s="8" t="s">
        <v>38</v>
      </c>
      <c r="E93" s="8" t="s">
        <v>49</v>
      </c>
      <c r="F93" s="12">
        <v>1500</v>
      </c>
      <c r="G93" s="12">
        <v>1254</v>
      </c>
      <c r="H93" s="8" t="s">
        <v>40</v>
      </c>
      <c r="I93" s="12">
        <v>42</v>
      </c>
      <c r="J93" s="8" t="s">
        <v>41</v>
      </c>
      <c r="K93" s="8" t="s">
        <v>63</v>
      </c>
      <c r="L93" s="8" t="s">
        <v>48</v>
      </c>
      <c r="M93" s="13">
        <f t="shared" si="3"/>
        <v>0.83599999999999997</v>
      </c>
      <c r="N93" s="14">
        <f t="shared" si="4"/>
        <v>3.3492822966507178E-2</v>
      </c>
    </row>
    <row r="94" spans="1:14" ht="16.5" x14ac:dyDescent="0.25">
      <c r="A94" s="24">
        <v>46115</v>
      </c>
      <c r="B94" s="7">
        <v>46115</v>
      </c>
      <c r="C94" s="25" t="str">
        <f t="shared" si="5"/>
        <v>03</v>
      </c>
      <c r="D94" s="7" t="s">
        <v>44</v>
      </c>
      <c r="E94" s="7" t="s">
        <v>57</v>
      </c>
      <c r="F94" s="9">
        <v>1000</v>
      </c>
      <c r="G94" s="9">
        <v>828</v>
      </c>
      <c r="H94" s="7" t="s">
        <v>54</v>
      </c>
      <c r="I94" s="9">
        <v>32</v>
      </c>
      <c r="J94" s="7" t="s">
        <v>55</v>
      </c>
      <c r="K94" s="7" t="s">
        <v>47</v>
      </c>
      <c r="L94" s="7" t="s">
        <v>56</v>
      </c>
      <c r="M94" s="10">
        <f t="shared" si="3"/>
        <v>0.82799999999999996</v>
      </c>
      <c r="N94" s="11">
        <f t="shared" si="4"/>
        <v>3.864734299516908E-2</v>
      </c>
    </row>
    <row r="95" spans="1:14" ht="16.5" x14ac:dyDescent="0.25">
      <c r="A95" s="24">
        <v>46116</v>
      </c>
      <c r="B95" s="7">
        <v>46116</v>
      </c>
      <c r="C95" s="25" t="str">
        <f t="shared" si="5"/>
        <v>04</v>
      </c>
      <c r="D95" s="8" t="s">
        <v>53</v>
      </c>
      <c r="E95" s="8" t="s">
        <v>39</v>
      </c>
      <c r="F95" s="12">
        <v>1000</v>
      </c>
      <c r="G95" s="12">
        <v>840</v>
      </c>
      <c r="H95" s="8" t="s">
        <v>45</v>
      </c>
      <c r="I95" s="12">
        <v>46</v>
      </c>
      <c r="J95" s="8" t="s">
        <v>46</v>
      </c>
      <c r="K95" s="8" t="s">
        <v>52</v>
      </c>
      <c r="L95" s="8" t="s">
        <v>48</v>
      </c>
      <c r="M95" s="13">
        <f t="shared" si="3"/>
        <v>0.84</v>
      </c>
      <c r="N95" s="14">
        <f t="shared" si="4"/>
        <v>5.4761904761904762E-2</v>
      </c>
    </row>
    <row r="96" spans="1:14" ht="16.5" x14ac:dyDescent="0.25">
      <c r="A96" s="24">
        <v>46117</v>
      </c>
      <c r="B96" s="7">
        <v>46117</v>
      </c>
      <c r="C96" s="25" t="str">
        <f t="shared" si="5"/>
        <v>05</v>
      </c>
      <c r="D96" s="7" t="s">
        <v>44</v>
      </c>
      <c r="E96" s="7" t="s">
        <v>49</v>
      </c>
      <c r="F96" s="9">
        <v>1500</v>
      </c>
      <c r="G96" s="9">
        <v>1460</v>
      </c>
      <c r="H96" s="7" t="s">
        <v>58</v>
      </c>
      <c r="I96" s="9">
        <v>32</v>
      </c>
      <c r="J96" s="7" t="s">
        <v>59</v>
      </c>
      <c r="K96" s="7" t="s">
        <v>63</v>
      </c>
      <c r="L96" s="7" t="s">
        <v>56</v>
      </c>
      <c r="M96" s="10">
        <f t="shared" si="3"/>
        <v>0.97333333333333338</v>
      </c>
      <c r="N96" s="11">
        <f t="shared" si="4"/>
        <v>2.1917808219178082E-2</v>
      </c>
    </row>
    <row r="97" spans="1:14" ht="16.5" x14ac:dyDescent="0.25">
      <c r="A97" s="24">
        <v>46118</v>
      </c>
      <c r="B97" s="7">
        <v>46118</v>
      </c>
      <c r="C97" s="25" t="str">
        <f t="shared" si="5"/>
        <v>06</v>
      </c>
      <c r="D97" s="8" t="s">
        <v>53</v>
      </c>
      <c r="E97" s="8" t="s">
        <v>39</v>
      </c>
      <c r="F97" s="12">
        <v>1500</v>
      </c>
      <c r="G97" s="12">
        <v>1457</v>
      </c>
      <c r="H97" s="8" t="s">
        <v>50</v>
      </c>
      <c r="I97" s="12">
        <v>28</v>
      </c>
      <c r="J97" s="8" t="s">
        <v>51</v>
      </c>
      <c r="K97" s="8" t="s">
        <v>47</v>
      </c>
      <c r="L97" s="8" t="s">
        <v>43</v>
      </c>
      <c r="M97" s="13">
        <f t="shared" si="3"/>
        <v>0.97133333333333338</v>
      </c>
      <c r="N97" s="14">
        <f t="shared" si="4"/>
        <v>1.9217570350034317E-2</v>
      </c>
    </row>
    <row r="98" spans="1:14" ht="16.5" x14ac:dyDescent="0.25">
      <c r="A98" s="24">
        <v>46119</v>
      </c>
      <c r="B98" s="7">
        <v>46119</v>
      </c>
      <c r="C98" s="25" t="str">
        <f t="shared" si="5"/>
        <v>07</v>
      </c>
      <c r="D98" s="7" t="s">
        <v>53</v>
      </c>
      <c r="E98" s="7" t="s">
        <v>39</v>
      </c>
      <c r="F98" s="9">
        <v>1000</v>
      </c>
      <c r="G98" s="9">
        <v>869</v>
      </c>
      <c r="H98" s="7" t="s">
        <v>54</v>
      </c>
      <c r="I98" s="9">
        <v>53</v>
      </c>
      <c r="J98" s="7" t="s">
        <v>55</v>
      </c>
      <c r="K98" s="7" t="s">
        <v>52</v>
      </c>
      <c r="L98" s="7" t="s">
        <v>48</v>
      </c>
      <c r="M98" s="10">
        <f t="shared" si="3"/>
        <v>0.86899999999999999</v>
      </c>
      <c r="N98" s="11">
        <f t="shared" si="4"/>
        <v>6.0989643268124283E-2</v>
      </c>
    </row>
    <row r="99" spans="1:14" ht="16.5" x14ac:dyDescent="0.25">
      <c r="A99" s="24">
        <v>46120</v>
      </c>
      <c r="B99" s="7">
        <v>46120</v>
      </c>
      <c r="C99" s="25" t="str">
        <f t="shared" si="5"/>
        <v>08</v>
      </c>
      <c r="D99" s="8" t="s">
        <v>53</v>
      </c>
      <c r="E99" s="8" t="s">
        <v>49</v>
      </c>
      <c r="F99" s="12">
        <v>1000</v>
      </c>
      <c r="G99" s="12">
        <v>957</v>
      </c>
      <c r="H99" s="8" t="s">
        <v>58</v>
      </c>
      <c r="I99" s="12">
        <v>5</v>
      </c>
      <c r="J99" s="8" t="s">
        <v>59</v>
      </c>
      <c r="K99" s="8" t="s">
        <v>47</v>
      </c>
      <c r="L99" s="8" t="s">
        <v>48</v>
      </c>
      <c r="M99" s="13">
        <f t="shared" si="3"/>
        <v>0.95699999999999996</v>
      </c>
      <c r="N99" s="14">
        <f t="shared" si="4"/>
        <v>5.2246603970741903E-3</v>
      </c>
    </row>
    <row r="100" spans="1:14" ht="16.5" x14ac:dyDescent="0.25">
      <c r="A100" s="24">
        <v>46121</v>
      </c>
      <c r="B100" s="7">
        <v>46121</v>
      </c>
      <c r="C100" s="25" t="str">
        <f t="shared" si="5"/>
        <v>09</v>
      </c>
      <c r="D100" s="7" t="s">
        <v>38</v>
      </c>
      <c r="E100" s="7" t="s">
        <v>57</v>
      </c>
      <c r="F100" s="9">
        <v>1000</v>
      </c>
      <c r="G100" s="9">
        <v>1018</v>
      </c>
      <c r="H100" s="7" t="s">
        <v>61</v>
      </c>
      <c r="I100" s="9">
        <v>17</v>
      </c>
      <c r="J100" s="7" t="s">
        <v>62</v>
      </c>
      <c r="K100" s="7" t="s">
        <v>47</v>
      </c>
      <c r="L100" s="7" t="s">
        <v>43</v>
      </c>
      <c r="M100" s="10">
        <f t="shared" si="3"/>
        <v>1.018</v>
      </c>
      <c r="N100" s="11">
        <f t="shared" si="4"/>
        <v>1.6699410609037329E-2</v>
      </c>
    </row>
    <row r="101" spans="1:14" ht="16.5" x14ac:dyDescent="0.25">
      <c r="A101" s="24">
        <v>46122</v>
      </c>
      <c r="B101" s="7">
        <v>46122</v>
      </c>
      <c r="C101" s="25" t="str">
        <f t="shared" si="5"/>
        <v>10</v>
      </c>
      <c r="D101" s="8" t="s">
        <v>38</v>
      </c>
      <c r="E101" s="8" t="s">
        <v>49</v>
      </c>
      <c r="F101" s="12">
        <v>1200</v>
      </c>
      <c r="G101" s="12">
        <v>1140</v>
      </c>
      <c r="H101" s="8" t="s">
        <v>40</v>
      </c>
      <c r="I101" s="12">
        <v>31</v>
      </c>
      <c r="J101" s="8" t="s">
        <v>41</v>
      </c>
      <c r="K101" s="8" t="s">
        <v>52</v>
      </c>
      <c r="L101" s="8" t="s">
        <v>48</v>
      </c>
      <c r="M101" s="13">
        <f t="shared" si="3"/>
        <v>0.95</v>
      </c>
      <c r="N101" s="14">
        <f t="shared" si="4"/>
        <v>2.7192982456140352E-2</v>
      </c>
    </row>
    <row r="102" spans="1:14" ht="16.5" x14ac:dyDescent="0.25">
      <c r="A102" s="24">
        <v>46123</v>
      </c>
      <c r="B102" s="7">
        <v>46123</v>
      </c>
      <c r="C102" s="25" t="str">
        <f t="shared" si="5"/>
        <v>11</v>
      </c>
      <c r="D102" s="7" t="s">
        <v>53</v>
      </c>
      <c r="E102" s="7" t="s">
        <v>49</v>
      </c>
      <c r="F102" s="9">
        <v>1000</v>
      </c>
      <c r="G102" s="9">
        <v>962</v>
      </c>
      <c r="H102" s="7" t="s">
        <v>61</v>
      </c>
      <c r="I102" s="9">
        <v>9</v>
      </c>
      <c r="J102" s="7" t="s">
        <v>62</v>
      </c>
      <c r="K102" s="7" t="s">
        <v>63</v>
      </c>
      <c r="L102" s="7" t="s">
        <v>48</v>
      </c>
      <c r="M102" s="10">
        <f t="shared" si="3"/>
        <v>0.96199999999999997</v>
      </c>
      <c r="N102" s="11">
        <f t="shared" si="4"/>
        <v>9.355509355509356E-3</v>
      </c>
    </row>
    <row r="103" spans="1:14" ht="16.5" x14ac:dyDescent="0.25">
      <c r="A103" s="24">
        <v>46124</v>
      </c>
      <c r="B103" s="7">
        <v>46124</v>
      </c>
      <c r="C103" s="25" t="str">
        <f t="shared" si="5"/>
        <v>12</v>
      </c>
      <c r="D103" s="8" t="s">
        <v>44</v>
      </c>
      <c r="E103" s="8" t="s">
        <v>39</v>
      </c>
      <c r="F103" s="12">
        <v>1500</v>
      </c>
      <c r="G103" s="12">
        <v>1399</v>
      </c>
      <c r="H103" s="8" t="s">
        <v>40</v>
      </c>
      <c r="I103" s="12">
        <v>33</v>
      </c>
      <c r="J103" s="8" t="s">
        <v>41</v>
      </c>
      <c r="K103" s="8" t="s">
        <v>42</v>
      </c>
      <c r="L103" s="8" t="s">
        <v>48</v>
      </c>
      <c r="M103" s="13">
        <f t="shared" si="3"/>
        <v>0.93266666666666664</v>
      </c>
      <c r="N103" s="14">
        <f t="shared" si="4"/>
        <v>2.3588277340957826E-2</v>
      </c>
    </row>
    <row r="104" spans="1:14" ht="16.5" x14ac:dyDescent="0.25">
      <c r="A104" s="24">
        <v>46125</v>
      </c>
      <c r="B104" s="7">
        <v>46125</v>
      </c>
      <c r="C104" s="25" t="str">
        <f t="shared" si="5"/>
        <v>13</v>
      </c>
      <c r="D104" s="7" t="s">
        <v>60</v>
      </c>
      <c r="E104" s="7" t="s">
        <v>39</v>
      </c>
      <c r="F104" s="9">
        <v>1200</v>
      </c>
      <c r="G104" s="9">
        <v>1025</v>
      </c>
      <c r="H104" s="7" t="s">
        <v>40</v>
      </c>
      <c r="I104" s="9">
        <v>13</v>
      </c>
      <c r="J104" s="7" t="s">
        <v>41</v>
      </c>
      <c r="K104" s="7" t="s">
        <v>42</v>
      </c>
      <c r="L104" s="7" t="s">
        <v>48</v>
      </c>
      <c r="M104" s="10">
        <f t="shared" si="3"/>
        <v>0.85416666666666663</v>
      </c>
      <c r="N104" s="11">
        <f t="shared" si="4"/>
        <v>1.2682926829268294E-2</v>
      </c>
    </row>
    <row r="105" spans="1:14" ht="16.5" x14ac:dyDescent="0.25">
      <c r="A105" s="24">
        <v>46126</v>
      </c>
      <c r="B105" s="7">
        <v>46126</v>
      </c>
      <c r="C105" s="25" t="str">
        <f t="shared" si="5"/>
        <v>14</v>
      </c>
      <c r="D105" s="8" t="s">
        <v>38</v>
      </c>
      <c r="E105" s="8" t="s">
        <v>57</v>
      </c>
      <c r="F105" s="12">
        <v>1200</v>
      </c>
      <c r="G105" s="12">
        <v>1208</v>
      </c>
      <c r="H105" s="8" t="s">
        <v>50</v>
      </c>
      <c r="I105" s="12">
        <v>15</v>
      </c>
      <c r="J105" s="8" t="s">
        <v>51</v>
      </c>
      <c r="K105" s="8" t="s">
        <v>47</v>
      </c>
      <c r="L105" s="8" t="s">
        <v>48</v>
      </c>
      <c r="M105" s="13">
        <f t="shared" si="3"/>
        <v>1.0066666666666666</v>
      </c>
      <c r="N105" s="14">
        <f t="shared" si="4"/>
        <v>1.2417218543046357E-2</v>
      </c>
    </row>
    <row r="106" spans="1:14" ht="16.5" x14ac:dyDescent="0.25">
      <c r="A106" s="24">
        <v>46127</v>
      </c>
      <c r="B106" s="7">
        <v>46127</v>
      </c>
      <c r="C106" s="25" t="str">
        <f t="shared" si="5"/>
        <v>15</v>
      </c>
      <c r="D106" s="7" t="s">
        <v>53</v>
      </c>
      <c r="E106" s="7" t="s">
        <v>57</v>
      </c>
      <c r="F106" s="9">
        <v>1000</v>
      </c>
      <c r="G106" s="9">
        <v>828</v>
      </c>
      <c r="H106" s="7" t="s">
        <v>54</v>
      </c>
      <c r="I106" s="9">
        <v>16</v>
      </c>
      <c r="J106" s="7" t="s">
        <v>55</v>
      </c>
      <c r="K106" s="7" t="s">
        <v>47</v>
      </c>
      <c r="L106" s="7" t="s">
        <v>48</v>
      </c>
      <c r="M106" s="10">
        <f t="shared" si="3"/>
        <v>0.82799999999999996</v>
      </c>
      <c r="N106" s="11">
        <f t="shared" si="4"/>
        <v>1.932367149758454E-2</v>
      </c>
    </row>
    <row r="107" spans="1:14" ht="16.5" x14ac:dyDescent="0.25">
      <c r="A107" s="24">
        <v>46128</v>
      </c>
      <c r="B107" s="7">
        <v>46128</v>
      </c>
      <c r="C107" s="25" t="str">
        <f t="shared" si="5"/>
        <v>16</v>
      </c>
      <c r="D107" s="8" t="s">
        <v>53</v>
      </c>
      <c r="E107" s="8" t="s">
        <v>57</v>
      </c>
      <c r="F107" s="12">
        <v>1500</v>
      </c>
      <c r="G107" s="12">
        <v>1446</v>
      </c>
      <c r="H107" s="8" t="s">
        <v>54</v>
      </c>
      <c r="I107" s="12">
        <v>28</v>
      </c>
      <c r="J107" s="8" t="s">
        <v>55</v>
      </c>
      <c r="K107" s="8" t="s">
        <v>63</v>
      </c>
      <c r="L107" s="8" t="s">
        <v>48</v>
      </c>
      <c r="M107" s="13">
        <f t="shared" si="3"/>
        <v>0.96399999999999997</v>
      </c>
      <c r="N107" s="14">
        <f t="shared" si="4"/>
        <v>1.9363762102351315E-2</v>
      </c>
    </row>
    <row r="108" spans="1:14" ht="16.5" x14ac:dyDescent="0.25">
      <c r="A108" s="24">
        <v>46129</v>
      </c>
      <c r="B108" s="7">
        <v>46129</v>
      </c>
      <c r="C108" s="25" t="str">
        <f t="shared" si="5"/>
        <v>17</v>
      </c>
      <c r="D108" s="7" t="s">
        <v>53</v>
      </c>
      <c r="E108" s="7" t="s">
        <v>49</v>
      </c>
      <c r="F108" s="9">
        <v>1500</v>
      </c>
      <c r="G108" s="9">
        <v>1302</v>
      </c>
      <c r="H108" s="7" t="s">
        <v>54</v>
      </c>
      <c r="I108" s="9">
        <v>11</v>
      </c>
      <c r="J108" s="7" t="s">
        <v>55</v>
      </c>
      <c r="K108" s="7" t="s">
        <v>52</v>
      </c>
      <c r="L108" s="7" t="s">
        <v>56</v>
      </c>
      <c r="M108" s="10">
        <f t="shared" si="3"/>
        <v>0.86799999999999999</v>
      </c>
      <c r="N108" s="11">
        <f t="shared" si="4"/>
        <v>8.4485407066052232E-3</v>
      </c>
    </row>
    <row r="109" spans="1:14" ht="16.5" x14ac:dyDescent="0.25">
      <c r="A109" s="24">
        <v>46130</v>
      </c>
      <c r="B109" s="7">
        <v>46130</v>
      </c>
      <c r="C109" s="25" t="str">
        <f t="shared" si="5"/>
        <v>18</v>
      </c>
      <c r="D109" s="8" t="s">
        <v>60</v>
      </c>
      <c r="E109" s="8" t="s">
        <v>57</v>
      </c>
      <c r="F109" s="12">
        <v>1200</v>
      </c>
      <c r="G109" s="12">
        <v>1062</v>
      </c>
      <c r="H109" s="8" t="s">
        <v>50</v>
      </c>
      <c r="I109" s="12">
        <v>13</v>
      </c>
      <c r="J109" s="8" t="s">
        <v>51</v>
      </c>
      <c r="K109" s="8" t="s">
        <v>63</v>
      </c>
      <c r="L109" s="8" t="s">
        <v>43</v>
      </c>
      <c r="M109" s="13">
        <f t="shared" si="3"/>
        <v>0.88500000000000001</v>
      </c>
      <c r="N109" s="14">
        <f t="shared" si="4"/>
        <v>1.2241054613935969E-2</v>
      </c>
    </row>
    <row r="110" spans="1:14" ht="16.5" x14ac:dyDescent="0.25">
      <c r="A110" s="24">
        <v>46131</v>
      </c>
      <c r="B110" s="7">
        <v>46131</v>
      </c>
      <c r="C110" s="25" t="str">
        <f t="shared" si="5"/>
        <v>19</v>
      </c>
      <c r="D110" s="7" t="s">
        <v>53</v>
      </c>
      <c r="E110" s="7" t="s">
        <v>57</v>
      </c>
      <c r="F110" s="9">
        <v>1200</v>
      </c>
      <c r="G110" s="9">
        <v>1189</v>
      </c>
      <c r="H110" s="7" t="s">
        <v>61</v>
      </c>
      <c r="I110" s="9">
        <v>16</v>
      </c>
      <c r="J110" s="7" t="s">
        <v>62</v>
      </c>
      <c r="K110" s="7" t="s">
        <v>52</v>
      </c>
      <c r="L110" s="7" t="s">
        <v>48</v>
      </c>
      <c r="M110" s="10">
        <f t="shared" si="3"/>
        <v>0.99083333333333334</v>
      </c>
      <c r="N110" s="11">
        <f t="shared" si="4"/>
        <v>1.345668629100084E-2</v>
      </c>
    </row>
    <row r="111" spans="1:14" ht="16.5" x14ac:dyDescent="0.25">
      <c r="A111" s="24">
        <v>46132</v>
      </c>
      <c r="B111" s="7">
        <v>46132</v>
      </c>
      <c r="C111" s="25" t="str">
        <f t="shared" si="5"/>
        <v>20</v>
      </c>
      <c r="D111" s="8" t="s">
        <v>53</v>
      </c>
      <c r="E111" s="8" t="s">
        <v>39</v>
      </c>
      <c r="F111" s="12">
        <v>1500</v>
      </c>
      <c r="G111" s="12">
        <v>1268</v>
      </c>
      <c r="H111" s="8" t="s">
        <v>40</v>
      </c>
      <c r="I111" s="12">
        <v>11</v>
      </c>
      <c r="J111" s="8" t="s">
        <v>41</v>
      </c>
      <c r="K111" s="8" t="s">
        <v>47</v>
      </c>
      <c r="L111" s="8" t="s">
        <v>48</v>
      </c>
      <c r="M111" s="13">
        <f t="shared" si="3"/>
        <v>0.84533333333333338</v>
      </c>
      <c r="N111" s="14">
        <f t="shared" si="4"/>
        <v>8.6750788643533121E-3</v>
      </c>
    </row>
    <row r="112" spans="1:14" ht="16.5" x14ac:dyDescent="0.25">
      <c r="A112" s="24">
        <v>46133</v>
      </c>
      <c r="B112" s="7">
        <v>46133</v>
      </c>
      <c r="C112" s="25" t="str">
        <f t="shared" si="5"/>
        <v>21</v>
      </c>
      <c r="D112" s="7" t="s">
        <v>53</v>
      </c>
      <c r="E112" s="7" t="s">
        <v>49</v>
      </c>
      <c r="F112" s="9">
        <v>1200</v>
      </c>
      <c r="G112" s="9">
        <v>1195</v>
      </c>
      <c r="H112" s="7" t="s">
        <v>50</v>
      </c>
      <c r="I112" s="9">
        <v>10</v>
      </c>
      <c r="J112" s="7" t="s">
        <v>51</v>
      </c>
      <c r="K112" s="7" t="s">
        <v>52</v>
      </c>
      <c r="L112" s="7" t="s">
        <v>43</v>
      </c>
      <c r="M112" s="10">
        <f t="shared" si="3"/>
        <v>0.99583333333333335</v>
      </c>
      <c r="N112" s="11">
        <f t="shared" si="4"/>
        <v>8.368200836820083E-3</v>
      </c>
    </row>
    <row r="113" spans="1:14" ht="16.5" x14ac:dyDescent="0.25">
      <c r="A113" s="24">
        <v>46134</v>
      </c>
      <c r="B113" s="7">
        <v>46134</v>
      </c>
      <c r="C113" s="25" t="str">
        <f t="shared" si="5"/>
        <v>22</v>
      </c>
      <c r="D113" s="8" t="s">
        <v>53</v>
      </c>
      <c r="E113" s="8" t="s">
        <v>57</v>
      </c>
      <c r="F113" s="12">
        <v>1000</v>
      </c>
      <c r="G113" s="12">
        <v>955</v>
      </c>
      <c r="H113" s="8" t="s">
        <v>58</v>
      </c>
      <c r="I113" s="12">
        <v>41</v>
      </c>
      <c r="J113" s="8" t="s">
        <v>59</v>
      </c>
      <c r="K113" s="8" t="s">
        <v>42</v>
      </c>
      <c r="L113" s="8" t="s">
        <v>48</v>
      </c>
      <c r="M113" s="13">
        <f t="shared" si="3"/>
        <v>0.95499999999999996</v>
      </c>
      <c r="N113" s="14">
        <f t="shared" si="4"/>
        <v>4.2931937172774867E-2</v>
      </c>
    </row>
    <row r="114" spans="1:14" ht="16.5" x14ac:dyDescent="0.25">
      <c r="A114" s="24">
        <v>46135</v>
      </c>
      <c r="B114" s="7">
        <v>46135</v>
      </c>
      <c r="C114" s="25" t="str">
        <f t="shared" si="5"/>
        <v>23</v>
      </c>
      <c r="D114" s="7" t="s">
        <v>53</v>
      </c>
      <c r="E114" s="7" t="s">
        <v>57</v>
      </c>
      <c r="F114" s="9">
        <v>1000</v>
      </c>
      <c r="G114" s="9">
        <v>862</v>
      </c>
      <c r="H114" s="7" t="s">
        <v>40</v>
      </c>
      <c r="I114" s="9">
        <v>50</v>
      </c>
      <c r="J114" s="7" t="s">
        <v>41</v>
      </c>
      <c r="K114" s="7" t="s">
        <v>47</v>
      </c>
      <c r="L114" s="7" t="s">
        <v>48</v>
      </c>
      <c r="M114" s="10">
        <f t="shared" si="3"/>
        <v>0.86199999999999999</v>
      </c>
      <c r="N114" s="11">
        <f t="shared" si="4"/>
        <v>5.8004640371229696E-2</v>
      </c>
    </row>
    <row r="115" spans="1:14" ht="16.5" x14ac:dyDescent="0.25">
      <c r="A115" s="24">
        <v>46136</v>
      </c>
      <c r="B115" s="7">
        <v>46136</v>
      </c>
      <c r="C115" s="25" t="str">
        <f t="shared" si="5"/>
        <v>24</v>
      </c>
      <c r="D115" s="8" t="s">
        <v>53</v>
      </c>
      <c r="E115" s="8" t="s">
        <v>57</v>
      </c>
      <c r="F115" s="12">
        <v>1500</v>
      </c>
      <c r="G115" s="12">
        <v>1236</v>
      </c>
      <c r="H115" s="8" t="s">
        <v>45</v>
      </c>
      <c r="I115" s="12">
        <v>44</v>
      </c>
      <c r="J115" s="8" t="s">
        <v>46</v>
      </c>
      <c r="K115" s="8" t="s">
        <v>63</v>
      </c>
      <c r="L115" s="8" t="s">
        <v>48</v>
      </c>
      <c r="M115" s="13">
        <f t="shared" si="3"/>
        <v>0.82399999999999995</v>
      </c>
      <c r="N115" s="14">
        <f t="shared" si="4"/>
        <v>3.5598705501618123E-2</v>
      </c>
    </row>
    <row r="116" spans="1:14" ht="16.5" x14ac:dyDescent="0.25">
      <c r="A116" s="24">
        <v>46137</v>
      </c>
      <c r="B116" s="7">
        <v>46137</v>
      </c>
      <c r="C116" s="25" t="str">
        <f t="shared" si="5"/>
        <v>25</v>
      </c>
      <c r="D116" s="7" t="s">
        <v>60</v>
      </c>
      <c r="E116" s="7" t="s">
        <v>49</v>
      </c>
      <c r="F116" s="9">
        <v>1000</v>
      </c>
      <c r="G116" s="9">
        <v>972</v>
      </c>
      <c r="H116" s="7" t="s">
        <v>50</v>
      </c>
      <c r="I116" s="9">
        <v>42</v>
      </c>
      <c r="J116" s="7" t="s">
        <v>51</v>
      </c>
      <c r="K116" s="7" t="s">
        <v>47</v>
      </c>
      <c r="L116" s="7" t="s">
        <v>48</v>
      </c>
      <c r="M116" s="10">
        <f t="shared" si="3"/>
        <v>0.97199999999999998</v>
      </c>
      <c r="N116" s="11">
        <f t="shared" si="4"/>
        <v>4.3209876543209874E-2</v>
      </c>
    </row>
    <row r="117" spans="1:14" ht="16.5" x14ac:dyDescent="0.25">
      <c r="A117" s="24">
        <v>46138</v>
      </c>
      <c r="B117" s="7">
        <v>46138</v>
      </c>
      <c r="C117" s="25" t="str">
        <f t="shared" si="5"/>
        <v>26</v>
      </c>
      <c r="D117" s="8" t="s">
        <v>38</v>
      </c>
      <c r="E117" s="8" t="s">
        <v>39</v>
      </c>
      <c r="F117" s="12">
        <v>1000</v>
      </c>
      <c r="G117" s="12">
        <v>1010</v>
      </c>
      <c r="H117" s="8" t="s">
        <v>50</v>
      </c>
      <c r="I117" s="12">
        <v>5</v>
      </c>
      <c r="J117" s="8" t="s">
        <v>51</v>
      </c>
      <c r="K117" s="8" t="s">
        <v>42</v>
      </c>
      <c r="L117" s="8" t="s">
        <v>43</v>
      </c>
      <c r="M117" s="13">
        <f t="shared" si="3"/>
        <v>1.01</v>
      </c>
      <c r="N117" s="14">
        <f t="shared" si="4"/>
        <v>4.9504950495049506E-3</v>
      </c>
    </row>
    <row r="118" spans="1:14" ht="16.5" x14ac:dyDescent="0.25">
      <c r="A118" s="24">
        <v>46139</v>
      </c>
      <c r="B118" s="7">
        <v>46139</v>
      </c>
      <c r="C118" s="25" t="str">
        <f t="shared" si="5"/>
        <v>27</v>
      </c>
      <c r="D118" s="7" t="s">
        <v>60</v>
      </c>
      <c r="E118" s="7" t="s">
        <v>57</v>
      </c>
      <c r="F118" s="9">
        <v>1500</v>
      </c>
      <c r="G118" s="9">
        <v>1241</v>
      </c>
      <c r="H118" s="7" t="s">
        <v>61</v>
      </c>
      <c r="I118" s="9">
        <v>33</v>
      </c>
      <c r="J118" s="7" t="s">
        <v>62</v>
      </c>
      <c r="K118" s="7" t="s">
        <v>47</v>
      </c>
      <c r="L118" s="7" t="s">
        <v>48</v>
      </c>
      <c r="M118" s="10">
        <f t="shared" si="3"/>
        <v>0.82733333333333337</v>
      </c>
      <c r="N118" s="11">
        <f t="shared" si="4"/>
        <v>2.6591458501208701E-2</v>
      </c>
    </row>
    <row r="119" spans="1:14" ht="16.5" x14ac:dyDescent="0.25">
      <c r="A119" s="24">
        <v>46140</v>
      </c>
      <c r="B119" s="7">
        <v>46140</v>
      </c>
      <c r="C119" s="25" t="str">
        <f t="shared" si="5"/>
        <v>28</v>
      </c>
      <c r="D119" s="8" t="s">
        <v>53</v>
      </c>
      <c r="E119" s="8" t="s">
        <v>39</v>
      </c>
      <c r="F119" s="12">
        <v>1500</v>
      </c>
      <c r="G119" s="12">
        <v>1481</v>
      </c>
      <c r="H119" s="8" t="s">
        <v>58</v>
      </c>
      <c r="I119" s="12">
        <v>30</v>
      </c>
      <c r="J119" s="8" t="s">
        <v>59</v>
      </c>
      <c r="K119" s="8" t="s">
        <v>63</v>
      </c>
      <c r="L119" s="8" t="s">
        <v>43</v>
      </c>
      <c r="M119" s="13">
        <f t="shared" si="3"/>
        <v>0.98733333333333329</v>
      </c>
      <c r="N119" s="14">
        <f t="shared" si="4"/>
        <v>2.025658338960162E-2</v>
      </c>
    </row>
    <row r="120" spans="1:14" ht="16.5" x14ac:dyDescent="0.25">
      <c r="A120" s="24">
        <v>46141</v>
      </c>
      <c r="B120" s="7">
        <v>46141</v>
      </c>
      <c r="C120" s="25" t="str">
        <f t="shared" si="5"/>
        <v>29</v>
      </c>
      <c r="D120" s="7" t="s">
        <v>60</v>
      </c>
      <c r="E120" s="7" t="s">
        <v>39</v>
      </c>
      <c r="F120" s="9">
        <v>1500</v>
      </c>
      <c r="G120" s="9">
        <v>1313</v>
      </c>
      <c r="H120" s="7" t="s">
        <v>50</v>
      </c>
      <c r="I120" s="9">
        <v>20</v>
      </c>
      <c r="J120" s="7" t="s">
        <v>51</v>
      </c>
      <c r="K120" s="7" t="s">
        <v>47</v>
      </c>
      <c r="L120" s="7" t="s">
        <v>48</v>
      </c>
      <c r="M120" s="10">
        <f t="shared" si="3"/>
        <v>0.8753333333333333</v>
      </c>
      <c r="N120" s="11">
        <f t="shared" si="4"/>
        <v>1.5232292460015232E-2</v>
      </c>
    </row>
    <row r="121" spans="1:14" ht="16.5" x14ac:dyDescent="0.25">
      <c r="A121" s="24">
        <v>46142</v>
      </c>
      <c r="B121" s="7">
        <v>46142</v>
      </c>
      <c r="C121" s="25" t="str">
        <f t="shared" si="5"/>
        <v>30</v>
      </c>
      <c r="D121" s="8" t="s">
        <v>53</v>
      </c>
      <c r="E121" s="8" t="s">
        <v>57</v>
      </c>
      <c r="F121" s="12">
        <v>1500</v>
      </c>
      <c r="G121" s="12">
        <v>1303</v>
      </c>
      <c r="H121" s="8" t="s">
        <v>45</v>
      </c>
      <c r="I121" s="12">
        <v>24</v>
      </c>
      <c r="J121" s="8" t="s">
        <v>46</v>
      </c>
      <c r="K121" s="8" t="s">
        <v>52</v>
      </c>
      <c r="L121" s="8" t="s">
        <v>56</v>
      </c>
      <c r="M121" s="13">
        <f t="shared" si="3"/>
        <v>0.8686666666666667</v>
      </c>
      <c r="N121" s="14">
        <f t="shared" si="4"/>
        <v>1.841903300076746E-2</v>
      </c>
    </row>
    <row r="122" spans="1:14" ht="16.5" x14ac:dyDescent="0.25">
      <c r="A122" s="24">
        <v>46143</v>
      </c>
      <c r="B122" s="7">
        <v>46143</v>
      </c>
      <c r="C122" s="25" t="str">
        <f t="shared" si="5"/>
        <v>01</v>
      </c>
      <c r="D122" s="7" t="s">
        <v>60</v>
      </c>
      <c r="E122" s="7" t="s">
        <v>57</v>
      </c>
      <c r="F122" s="9">
        <v>1200</v>
      </c>
      <c r="G122" s="9">
        <v>1144</v>
      </c>
      <c r="H122" s="7" t="s">
        <v>58</v>
      </c>
      <c r="I122" s="9">
        <v>9</v>
      </c>
      <c r="J122" s="7" t="s">
        <v>59</v>
      </c>
      <c r="K122" s="7" t="s">
        <v>52</v>
      </c>
      <c r="L122" s="7" t="s">
        <v>48</v>
      </c>
      <c r="M122" s="10">
        <f t="shared" si="3"/>
        <v>0.95333333333333337</v>
      </c>
      <c r="N122" s="11">
        <f t="shared" si="4"/>
        <v>7.8671328671328679E-3</v>
      </c>
    </row>
    <row r="123" spans="1:14" ht="16.5" x14ac:dyDescent="0.25">
      <c r="A123" s="24">
        <v>46144</v>
      </c>
      <c r="B123" s="7">
        <v>46144</v>
      </c>
      <c r="C123" s="25" t="str">
        <f t="shared" si="5"/>
        <v>02</v>
      </c>
      <c r="D123" s="8" t="s">
        <v>44</v>
      </c>
      <c r="E123" s="8" t="s">
        <v>57</v>
      </c>
      <c r="F123" s="12">
        <v>1000</v>
      </c>
      <c r="G123" s="12">
        <v>931</v>
      </c>
      <c r="H123" s="8" t="s">
        <v>54</v>
      </c>
      <c r="I123" s="12">
        <v>44</v>
      </c>
      <c r="J123" s="8" t="s">
        <v>55</v>
      </c>
      <c r="K123" s="8" t="s">
        <v>42</v>
      </c>
      <c r="L123" s="8" t="s">
        <v>48</v>
      </c>
      <c r="M123" s="13">
        <f t="shared" si="3"/>
        <v>0.93100000000000005</v>
      </c>
      <c r="N123" s="14">
        <f t="shared" si="4"/>
        <v>4.7261009667024706E-2</v>
      </c>
    </row>
    <row r="124" spans="1:14" ht="16.5" x14ac:dyDescent="0.25">
      <c r="A124" s="24">
        <v>46145</v>
      </c>
      <c r="B124" s="7">
        <v>46145</v>
      </c>
      <c r="C124" s="25" t="str">
        <f t="shared" si="5"/>
        <v>03</v>
      </c>
      <c r="D124" s="7" t="s">
        <v>60</v>
      </c>
      <c r="E124" s="7" t="s">
        <v>49</v>
      </c>
      <c r="F124" s="9">
        <v>1500</v>
      </c>
      <c r="G124" s="9">
        <v>1257</v>
      </c>
      <c r="H124" s="7" t="s">
        <v>61</v>
      </c>
      <c r="I124" s="9">
        <v>54</v>
      </c>
      <c r="J124" s="7" t="s">
        <v>62</v>
      </c>
      <c r="K124" s="7" t="s">
        <v>42</v>
      </c>
      <c r="L124" s="7" t="s">
        <v>43</v>
      </c>
      <c r="M124" s="10">
        <f t="shared" si="3"/>
        <v>0.83799999999999997</v>
      </c>
      <c r="N124" s="11">
        <f t="shared" si="4"/>
        <v>4.2959427207637228E-2</v>
      </c>
    </row>
    <row r="125" spans="1:14" ht="16.5" x14ac:dyDescent="0.25">
      <c r="A125" s="24">
        <v>46146</v>
      </c>
      <c r="B125" s="7">
        <v>46146</v>
      </c>
      <c r="C125" s="25" t="str">
        <f t="shared" si="5"/>
        <v>04</v>
      </c>
      <c r="D125" s="8" t="s">
        <v>44</v>
      </c>
      <c r="E125" s="8" t="s">
        <v>57</v>
      </c>
      <c r="F125" s="12">
        <v>1200</v>
      </c>
      <c r="G125" s="12">
        <v>1055</v>
      </c>
      <c r="H125" s="8" t="s">
        <v>58</v>
      </c>
      <c r="I125" s="12">
        <v>52</v>
      </c>
      <c r="J125" s="8" t="s">
        <v>59</v>
      </c>
      <c r="K125" s="8" t="s">
        <v>52</v>
      </c>
      <c r="L125" s="8" t="s">
        <v>56</v>
      </c>
      <c r="M125" s="13">
        <f t="shared" si="3"/>
        <v>0.87916666666666665</v>
      </c>
      <c r="N125" s="14">
        <f t="shared" si="4"/>
        <v>4.9289099526066353E-2</v>
      </c>
    </row>
    <row r="126" spans="1:14" ht="16.5" x14ac:dyDescent="0.25">
      <c r="A126" s="24">
        <v>46147</v>
      </c>
      <c r="B126" s="7">
        <v>46147</v>
      </c>
      <c r="C126" s="25" t="str">
        <f t="shared" si="5"/>
        <v>05</v>
      </c>
      <c r="D126" s="7" t="s">
        <v>60</v>
      </c>
      <c r="E126" s="7" t="s">
        <v>49</v>
      </c>
      <c r="F126" s="9">
        <v>1200</v>
      </c>
      <c r="G126" s="9">
        <v>1140</v>
      </c>
      <c r="H126" s="7" t="s">
        <v>40</v>
      </c>
      <c r="I126" s="9">
        <v>32</v>
      </c>
      <c r="J126" s="7" t="s">
        <v>41</v>
      </c>
      <c r="K126" s="7" t="s">
        <v>63</v>
      </c>
      <c r="L126" s="7" t="s">
        <v>43</v>
      </c>
      <c r="M126" s="10">
        <f t="shared" si="3"/>
        <v>0.95</v>
      </c>
      <c r="N126" s="11">
        <f t="shared" si="4"/>
        <v>2.8070175438596492E-2</v>
      </c>
    </row>
    <row r="127" spans="1:14" ht="16.5" x14ac:dyDescent="0.25">
      <c r="A127" s="24">
        <v>46148</v>
      </c>
      <c r="B127" s="7">
        <v>46148</v>
      </c>
      <c r="C127" s="25" t="str">
        <f t="shared" si="5"/>
        <v>06</v>
      </c>
      <c r="D127" s="8" t="s">
        <v>44</v>
      </c>
      <c r="E127" s="8" t="s">
        <v>49</v>
      </c>
      <c r="F127" s="12">
        <v>1500</v>
      </c>
      <c r="G127" s="12">
        <v>1412</v>
      </c>
      <c r="H127" s="8" t="s">
        <v>54</v>
      </c>
      <c r="I127" s="12">
        <v>39</v>
      </c>
      <c r="J127" s="8" t="s">
        <v>55</v>
      </c>
      <c r="K127" s="8" t="s">
        <v>63</v>
      </c>
      <c r="L127" s="8" t="s">
        <v>48</v>
      </c>
      <c r="M127" s="13">
        <f t="shared" si="3"/>
        <v>0.94133333333333336</v>
      </c>
      <c r="N127" s="14">
        <f t="shared" si="4"/>
        <v>2.7620396600566571E-2</v>
      </c>
    </row>
    <row r="128" spans="1:14" ht="16.5" x14ac:dyDescent="0.25">
      <c r="A128" s="24">
        <v>46149</v>
      </c>
      <c r="B128" s="7">
        <v>46149</v>
      </c>
      <c r="C128" s="25" t="str">
        <f t="shared" si="5"/>
        <v>07</v>
      </c>
      <c r="D128" s="7" t="s">
        <v>53</v>
      </c>
      <c r="E128" s="7" t="s">
        <v>57</v>
      </c>
      <c r="F128" s="9">
        <v>1200</v>
      </c>
      <c r="G128" s="9">
        <v>1088</v>
      </c>
      <c r="H128" s="7" t="s">
        <v>40</v>
      </c>
      <c r="I128" s="9">
        <v>14</v>
      </c>
      <c r="J128" s="7" t="s">
        <v>41</v>
      </c>
      <c r="K128" s="7" t="s">
        <v>63</v>
      </c>
      <c r="L128" s="7" t="s">
        <v>48</v>
      </c>
      <c r="M128" s="10">
        <f t="shared" si="3"/>
        <v>0.90666666666666662</v>
      </c>
      <c r="N128" s="11">
        <f t="shared" si="4"/>
        <v>1.2867647058823529E-2</v>
      </c>
    </row>
    <row r="129" spans="1:14" ht="16.5" x14ac:dyDescent="0.25">
      <c r="A129" s="24">
        <v>46150</v>
      </c>
      <c r="B129" s="7">
        <v>46150</v>
      </c>
      <c r="C129" s="25" t="str">
        <f t="shared" si="5"/>
        <v>08</v>
      </c>
      <c r="D129" s="8" t="s">
        <v>60</v>
      </c>
      <c r="E129" s="8" t="s">
        <v>49</v>
      </c>
      <c r="F129" s="12">
        <v>1200</v>
      </c>
      <c r="G129" s="12">
        <v>1086</v>
      </c>
      <c r="H129" s="8" t="s">
        <v>61</v>
      </c>
      <c r="I129" s="12">
        <v>15</v>
      </c>
      <c r="J129" s="8" t="s">
        <v>62</v>
      </c>
      <c r="K129" s="8" t="s">
        <v>47</v>
      </c>
      <c r="L129" s="8" t="s">
        <v>48</v>
      </c>
      <c r="M129" s="13">
        <f t="shared" si="3"/>
        <v>0.90500000000000003</v>
      </c>
      <c r="N129" s="14">
        <f t="shared" si="4"/>
        <v>1.3812154696132596E-2</v>
      </c>
    </row>
    <row r="130" spans="1:14" ht="16.5" x14ac:dyDescent="0.25">
      <c r="A130" s="24">
        <v>46151</v>
      </c>
      <c r="B130" s="7">
        <v>46151</v>
      </c>
      <c r="C130" s="25" t="str">
        <f t="shared" si="5"/>
        <v>09</v>
      </c>
      <c r="D130" s="7" t="s">
        <v>53</v>
      </c>
      <c r="E130" s="7" t="s">
        <v>57</v>
      </c>
      <c r="F130" s="9">
        <v>1200</v>
      </c>
      <c r="G130" s="9">
        <v>1114</v>
      </c>
      <c r="H130" s="7" t="s">
        <v>40</v>
      </c>
      <c r="I130" s="9">
        <v>26</v>
      </c>
      <c r="J130" s="7" t="s">
        <v>41</v>
      </c>
      <c r="K130" s="7" t="s">
        <v>42</v>
      </c>
      <c r="L130" s="7" t="s">
        <v>48</v>
      </c>
      <c r="M130" s="10">
        <f t="shared" ref="M130:M182" si="6">G130/F130</f>
        <v>0.92833333333333334</v>
      </c>
      <c r="N130" s="11">
        <f t="shared" ref="N130:N182" si="7">I130/G130</f>
        <v>2.333931777378815E-2</v>
      </c>
    </row>
    <row r="131" spans="1:14" ht="16.5" x14ac:dyDescent="0.25">
      <c r="A131" s="24">
        <v>46152</v>
      </c>
      <c r="B131" s="7">
        <v>46152</v>
      </c>
      <c r="C131" s="25" t="str">
        <f t="shared" ref="C131:C182" si="8">TEXT(B131,"dd")</f>
        <v>10</v>
      </c>
      <c r="D131" s="8" t="s">
        <v>60</v>
      </c>
      <c r="E131" s="8" t="s">
        <v>39</v>
      </c>
      <c r="F131" s="12">
        <v>1200</v>
      </c>
      <c r="G131" s="12">
        <v>1155</v>
      </c>
      <c r="H131" s="8" t="s">
        <v>40</v>
      </c>
      <c r="I131" s="12">
        <v>25</v>
      </c>
      <c r="J131" s="8" t="s">
        <v>41</v>
      </c>
      <c r="K131" s="8" t="s">
        <v>47</v>
      </c>
      <c r="L131" s="8" t="s">
        <v>48</v>
      </c>
      <c r="M131" s="13">
        <f t="shared" si="6"/>
        <v>0.96250000000000002</v>
      </c>
      <c r="N131" s="14">
        <f t="shared" si="7"/>
        <v>2.1645021645021644E-2</v>
      </c>
    </row>
    <row r="132" spans="1:14" ht="16.5" x14ac:dyDescent="0.25">
      <c r="A132" s="24">
        <v>46153</v>
      </c>
      <c r="B132" s="7">
        <v>46153</v>
      </c>
      <c r="C132" s="25" t="str">
        <f t="shared" si="8"/>
        <v>11</v>
      </c>
      <c r="D132" s="7" t="s">
        <v>38</v>
      </c>
      <c r="E132" s="7" t="s">
        <v>57</v>
      </c>
      <c r="F132" s="9">
        <v>1000</v>
      </c>
      <c r="G132" s="9">
        <v>867</v>
      </c>
      <c r="H132" s="7" t="s">
        <v>58</v>
      </c>
      <c r="I132" s="9">
        <v>39</v>
      </c>
      <c r="J132" s="7" t="s">
        <v>59</v>
      </c>
      <c r="K132" s="7" t="s">
        <v>52</v>
      </c>
      <c r="L132" s="7" t="s">
        <v>48</v>
      </c>
      <c r="M132" s="10">
        <f t="shared" si="6"/>
        <v>0.86699999999999999</v>
      </c>
      <c r="N132" s="11">
        <f t="shared" si="7"/>
        <v>4.4982698961937718E-2</v>
      </c>
    </row>
    <row r="133" spans="1:14" ht="16.5" x14ac:dyDescent="0.25">
      <c r="A133" s="24">
        <v>46154</v>
      </c>
      <c r="B133" s="7">
        <v>46154</v>
      </c>
      <c r="C133" s="25" t="str">
        <f t="shared" si="8"/>
        <v>12</v>
      </c>
      <c r="D133" s="8" t="s">
        <v>38</v>
      </c>
      <c r="E133" s="8" t="s">
        <v>57</v>
      </c>
      <c r="F133" s="12">
        <v>1000</v>
      </c>
      <c r="G133" s="12">
        <v>934</v>
      </c>
      <c r="H133" s="8" t="s">
        <v>58</v>
      </c>
      <c r="I133" s="12">
        <v>26</v>
      </c>
      <c r="J133" s="8" t="s">
        <v>59</v>
      </c>
      <c r="K133" s="8" t="s">
        <v>52</v>
      </c>
      <c r="L133" s="8" t="s">
        <v>43</v>
      </c>
      <c r="M133" s="13">
        <f t="shared" si="6"/>
        <v>0.93400000000000005</v>
      </c>
      <c r="N133" s="14">
        <f t="shared" si="7"/>
        <v>2.7837259100642397E-2</v>
      </c>
    </row>
    <row r="134" spans="1:14" ht="16.5" x14ac:dyDescent="0.25">
      <c r="A134" s="24">
        <v>46155</v>
      </c>
      <c r="B134" s="7">
        <v>46155</v>
      </c>
      <c r="C134" s="25" t="str">
        <f t="shared" si="8"/>
        <v>13</v>
      </c>
      <c r="D134" s="7" t="s">
        <v>38</v>
      </c>
      <c r="E134" s="7" t="s">
        <v>49</v>
      </c>
      <c r="F134" s="9">
        <v>1200</v>
      </c>
      <c r="G134" s="9">
        <v>1052</v>
      </c>
      <c r="H134" s="7" t="s">
        <v>58</v>
      </c>
      <c r="I134" s="9">
        <v>46</v>
      </c>
      <c r="J134" s="7" t="s">
        <v>59</v>
      </c>
      <c r="K134" s="7" t="s">
        <v>63</v>
      </c>
      <c r="L134" s="7" t="s">
        <v>48</v>
      </c>
      <c r="M134" s="10">
        <f t="shared" si="6"/>
        <v>0.87666666666666671</v>
      </c>
      <c r="N134" s="11">
        <f t="shared" si="7"/>
        <v>4.3726235741444866E-2</v>
      </c>
    </row>
    <row r="135" spans="1:14" ht="16.5" x14ac:dyDescent="0.25">
      <c r="A135" s="24">
        <v>46156</v>
      </c>
      <c r="B135" s="7">
        <v>46156</v>
      </c>
      <c r="C135" s="25" t="str">
        <f t="shared" si="8"/>
        <v>14</v>
      </c>
      <c r="D135" s="8" t="s">
        <v>38</v>
      </c>
      <c r="E135" s="8" t="s">
        <v>57</v>
      </c>
      <c r="F135" s="12">
        <v>1000</v>
      </c>
      <c r="G135" s="12">
        <v>936</v>
      </c>
      <c r="H135" s="8" t="s">
        <v>50</v>
      </c>
      <c r="I135" s="12">
        <v>32</v>
      </c>
      <c r="J135" s="8" t="s">
        <v>51</v>
      </c>
      <c r="K135" s="8" t="s">
        <v>63</v>
      </c>
      <c r="L135" s="8" t="s">
        <v>48</v>
      </c>
      <c r="M135" s="13">
        <f t="shared" si="6"/>
        <v>0.93600000000000005</v>
      </c>
      <c r="N135" s="14">
        <f t="shared" si="7"/>
        <v>3.4188034188034191E-2</v>
      </c>
    </row>
    <row r="136" spans="1:14" ht="16.5" x14ac:dyDescent="0.25">
      <c r="A136" s="24">
        <v>46157</v>
      </c>
      <c r="B136" s="7">
        <v>46157</v>
      </c>
      <c r="C136" s="25" t="str">
        <f t="shared" si="8"/>
        <v>15</v>
      </c>
      <c r="D136" s="7" t="s">
        <v>38</v>
      </c>
      <c r="E136" s="7" t="s">
        <v>39</v>
      </c>
      <c r="F136" s="9">
        <v>1000</v>
      </c>
      <c r="G136" s="9">
        <v>956</v>
      </c>
      <c r="H136" s="7" t="s">
        <v>40</v>
      </c>
      <c r="I136" s="9">
        <v>44</v>
      </c>
      <c r="J136" s="7" t="s">
        <v>41</v>
      </c>
      <c r="K136" s="7" t="s">
        <v>63</v>
      </c>
      <c r="L136" s="7" t="s">
        <v>43</v>
      </c>
      <c r="M136" s="10">
        <f t="shared" si="6"/>
        <v>0.95599999999999996</v>
      </c>
      <c r="N136" s="11">
        <f t="shared" si="7"/>
        <v>4.6025104602510462E-2</v>
      </c>
    </row>
    <row r="137" spans="1:14" ht="16.5" x14ac:dyDescent="0.25">
      <c r="A137" s="24">
        <v>46158</v>
      </c>
      <c r="B137" s="7">
        <v>46158</v>
      </c>
      <c r="C137" s="25" t="str">
        <f t="shared" si="8"/>
        <v>16</v>
      </c>
      <c r="D137" s="8" t="s">
        <v>60</v>
      </c>
      <c r="E137" s="8" t="s">
        <v>39</v>
      </c>
      <c r="F137" s="12">
        <v>1000</v>
      </c>
      <c r="G137" s="12">
        <v>864</v>
      </c>
      <c r="H137" s="8" t="s">
        <v>50</v>
      </c>
      <c r="I137" s="12">
        <v>11</v>
      </c>
      <c r="J137" s="8" t="s">
        <v>51</v>
      </c>
      <c r="K137" s="8" t="s">
        <v>42</v>
      </c>
      <c r="L137" s="8" t="s">
        <v>43</v>
      </c>
      <c r="M137" s="13">
        <f t="shared" si="6"/>
        <v>0.86399999999999999</v>
      </c>
      <c r="N137" s="14">
        <f t="shared" si="7"/>
        <v>1.2731481481481481E-2</v>
      </c>
    </row>
    <row r="138" spans="1:14" ht="16.5" x14ac:dyDescent="0.25">
      <c r="A138" s="24">
        <v>46159</v>
      </c>
      <c r="B138" s="7">
        <v>46159</v>
      </c>
      <c r="C138" s="25" t="str">
        <f t="shared" si="8"/>
        <v>17</v>
      </c>
      <c r="D138" s="7" t="s">
        <v>38</v>
      </c>
      <c r="E138" s="7" t="s">
        <v>57</v>
      </c>
      <c r="F138" s="9">
        <v>1500</v>
      </c>
      <c r="G138" s="9">
        <v>1355</v>
      </c>
      <c r="H138" s="7" t="s">
        <v>50</v>
      </c>
      <c r="I138" s="9">
        <v>10</v>
      </c>
      <c r="J138" s="7" t="s">
        <v>51</v>
      </c>
      <c r="K138" s="7" t="s">
        <v>47</v>
      </c>
      <c r="L138" s="7" t="s">
        <v>48</v>
      </c>
      <c r="M138" s="10">
        <f t="shared" si="6"/>
        <v>0.90333333333333332</v>
      </c>
      <c r="N138" s="11">
        <f t="shared" si="7"/>
        <v>7.3800738007380072E-3</v>
      </c>
    </row>
    <row r="139" spans="1:14" ht="16.5" x14ac:dyDescent="0.25">
      <c r="A139" s="24">
        <v>46160</v>
      </c>
      <c r="B139" s="7">
        <v>46160</v>
      </c>
      <c r="C139" s="25" t="str">
        <f t="shared" si="8"/>
        <v>18</v>
      </c>
      <c r="D139" s="8" t="s">
        <v>60</v>
      </c>
      <c r="E139" s="8" t="s">
        <v>57</v>
      </c>
      <c r="F139" s="12">
        <v>1500</v>
      </c>
      <c r="G139" s="12">
        <v>1373</v>
      </c>
      <c r="H139" s="8" t="s">
        <v>58</v>
      </c>
      <c r="I139" s="12">
        <v>37</v>
      </c>
      <c r="J139" s="8" t="s">
        <v>59</v>
      </c>
      <c r="K139" s="8" t="s">
        <v>63</v>
      </c>
      <c r="L139" s="8" t="s">
        <v>48</v>
      </c>
      <c r="M139" s="13">
        <f t="shared" si="6"/>
        <v>0.91533333333333333</v>
      </c>
      <c r="N139" s="14">
        <f t="shared" si="7"/>
        <v>2.6948288419519302E-2</v>
      </c>
    </row>
    <row r="140" spans="1:14" ht="16.5" x14ac:dyDescent="0.25">
      <c r="A140" s="24">
        <v>46161</v>
      </c>
      <c r="B140" s="7">
        <v>46161</v>
      </c>
      <c r="C140" s="25" t="str">
        <f t="shared" si="8"/>
        <v>19</v>
      </c>
      <c r="D140" s="7" t="s">
        <v>60</v>
      </c>
      <c r="E140" s="7" t="s">
        <v>57</v>
      </c>
      <c r="F140" s="9">
        <v>1200</v>
      </c>
      <c r="G140" s="9">
        <v>1005</v>
      </c>
      <c r="H140" s="7" t="s">
        <v>58</v>
      </c>
      <c r="I140" s="9">
        <v>20</v>
      </c>
      <c r="J140" s="7" t="s">
        <v>59</v>
      </c>
      <c r="K140" s="7" t="s">
        <v>63</v>
      </c>
      <c r="L140" s="7" t="s">
        <v>43</v>
      </c>
      <c r="M140" s="10">
        <f t="shared" si="6"/>
        <v>0.83750000000000002</v>
      </c>
      <c r="N140" s="11">
        <f t="shared" si="7"/>
        <v>1.9900497512437811E-2</v>
      </c>
    </row>
    <row r="141" spans="1:14" ht="16.5" x14ac:dyDescent="0.25">
      <c r="A141" s="24">
        <v>46162</v>
      </c>
      <c r="B141" s="7">
        <v>46162</v>
      </c>
      <c r="C141" s="25" t="str">
        <f t="shared" si="8"/>
        <v>20</v>
      </c>
      <c r="D141" s="8" t="s">
        <v>38</v>
      </c>
      <c r="E141" s="8" t="s">
        <v>49</v>
      </c>
      <c r="F141" s="12">
        <v>1200</v>
      </c>
      <c r="G141" s="12">
        <v>1194</v>
      </c>
      <c r="H141" s="8" t="s">
        <v>40</v>
      </c>
      <c r="I141" s="12">
        <v>10</v>
      </c>
      <c r="J141" s="8" t="s">
        <v>41</v>
      </c>
      <c r="K141" s="8" t="s">
        <v>52</v>
      </c>
      <c r="L141" s="8" t="s">
        <v>48</v>
      </c>
      <c r="M141" s="13">
        <f t="shared" si="6"/>
        <v>0.995</v>
      </c>
      <c r="N141" s="14">
        <f t="shared" si="7"/>
        <v>8.3752093802345051E-3</v>
      </c>
    </row>
    <row r="142" spans="1:14" ht="16.5" x14ac:dyDescent="0.25">
      <c r="A142" s="24">
        <v>46163</v>
      </c>
      <c r="B142" s="7">
        <v>46163</v>
      </c>
      <c r="C142" s="25" t="str">
        <f t="shared" si="8"/>
        <v>21</v>
      </c>
      <c r="D142" s="7" t="s">
        <v>44</v>
      </c>
      <c r="E142" s="7" t="s">
        <v>49</v>
      </c>
      <c r="F142" s="9">
        <v>1000</v>
      </c>
      <c r="G142" s="9">
        <v>836</v>
      </c>
      <c r="H142" s="7" t="s">
        <v>40</v>
      </c>
      <c r="I142" s="9">
        <v>57</v>
      </c>
      <c r="J142" s="7" t="s">
        <v>41</v>
      </c>
      <c r="K142" s="7" t="s">
        <v>42</v>
      </c>
      <c r="L142" s="7" t="s">
        <v>56</v>
      </c>
      <c r="M142" s="10">
        <f t="shared" si="6"/>
        <v>0.83599999999999997</v>
      </c>
      <c r="N142" s="11">
        <f t="shared" si="7"/>
        <v>6.8181818181818177E-2</v>
      </c>
    </row>
    <row r="143" spans="1:14" ht="16.5" x14ac:dyDescent="0.25">
      <c r="A143" s="24">
        <v>46164</v>
      </c>
      <c r="B143" s="7">
        <v>46164</v>
      </c>
      <c r="C143" s="25" t="str">
        <f t="shared" si="8"/>
        <v>22</v>
      </c>
      <c r="D143" s="8" t="s">
        <v>60</v>
      </c>
      <c r="E143" s="8" t="s">
        <v>49</v>
      </c>
      <c r="F143" s="12">
        <v>1000</v>
      </c>
      <c r="G143" s="12">
        <v>971</v>
      </c>
      <c r="H143" s="8" t="s">
        <v>45</v>
      </c>
      <c r="I143" s="12">
        <v>12</v>
      </c>
      <c r="J143" s="8" t="s">
        <v>46</v>
      </c>
      <c r="K143" s="8" t="s">
        <v>47</v>
      </c>
      <c r="L143" s="8" t="s">
        <v>48</v>
      </c>
      <c r="M143" s="13">
        <f t="shared" si="6"/>
        <v>0.97099999999999997</v>
      </c>
      <c r="N143" s="14">
        <f t="shared" si="7"/>
        <v>1.2358393408856848E-2</v>
      </c>
    </row>
    <row r="144" spans="1:14" ht="16.5" x14ac:dyDescent="0.25">
      <c r="A144" s="24">
        <v>46165</v>
      </c>
      <c r="B144" s="7">
        <v>46165</v>
      </c>
      <c r="C144" s="25" t="str">
        <f t="shared" si="8"/>
        <v>23</v>
      </c>
      <c r="D144" s="7" t="s">
        <v>53</v>
      </c>
      <c r="E144" s="7" t="s">
        <v>49</v>
      </c>
      <c r="F144" s="9">
        <v>1000</v>
      </c>
      <c r="G144" s="9">
        <v>1014</v>
      </c>
      <c r="H144" s="7" t="s">
        <v>50</v>
      </c>
      <c r="I144" s="9">
        <v>23</v>
      </c>
      <c r="J144" s="7" t="s">
        <v>51</v>
      </c>
      <c r="K144" s="7" t="s">
        <v>42</v>
      </c>
      <c r="L144" s="7" t="s">
        <v>48</v>
      </c>
      <c r="M144" s="10">
        <f t="shared" si="6"/>
        <v>1.014</v>
      </c>
      <c r="N144" s="11">
        <f t="shared" si="7"/>
        <v>2.2682445759368838E-2</v>
      </c>
    </row>
    <row r="145" spans="1:14" ht="16.5" x14ac:dyDescent="0.25">
      <c r="A145" s="24">
        <v>46166</v>
      </c>
      <c r="B145" s="7">
        <v>46166</v>
      </c>
      <c r="C145" s="25" t="str">
        <f t="shared" si="8"/>
        <v>24</v>
      </c>
      <c r="D145" s="8" t="s">
        <v>53</v>
      </c>
      <c r="E145" s="8" t="s">
        <v>57</v>
      </c>
      <c r="F145" s="12">
        <v>1200</v>
      </c>
      <c r="G145" s="12">
        <v>1214</v>
      </c>
      <c r="H145" s="8" t="s">
        <v>40</v>
      </c>
      <c r="I145" s="12">
        <v>28</v>
      </c>
      <c r="J145" s="8" t="s">
        <v>41</v>
      </c>
      <c r="K145" s="8" t="s">
        <v>52</v>
      </c>
      <c r="L145" s="8" t="s">
        <v>48</v>
      </c>
      <c r="M145" s="13">
        <f t="shared" si="6"/>
        <v>1.0116666666666667</v>
      </c>
      <c r="N145" s="14">
        <f t="shared" si="7"/>
        <v>2.3064250411861616E-2</v>
      </c>
    </row>
    <row r="146" spans="1:14" ht="16.5" x14ac:dyDescent="0.25">
      <c r="A146" s="24">
        <v>46167</v>
      </c>
      <c r="B146" s="7">
        <v>46167</v>
      </c>
      <c r="C146" s="25" t="str">
        <f t="shared" si="8"/>
        <v>25</v>
      </c>
      <c r="D146" s="7" t="s">
        <v>38</v>
      </c>
      <c r="E146" s="7" t="s">
        <v>57</v>
      </c>
      <c r="F146" s="9">
        <v>1500</v>
      </c>
      <c r="G146" s="9">
        <v>1453</v>
      </c>
      <c r="H146" s="7" t="s">
        <v>58</v>
      </c>
      <c r="I146" s="9">
        <v>26</v>
      </c>
      <c r="J146" s="7" t="s">
        <v>59</v>
      </c>
      <c r="K146" s="7" t="s">
        <v>63</v>
      </c>
      <c r="L146" s="7" t="s">
        <v>43</v>
      </c>
      <c r="M146" s="10">
        <f t="shared" si="6"/>
        <v>0.96866666666666668</v>
      </c>
      <c r="N146" s="11">
        <f t="shared" si="7"/>
        <v>1.7894012388162423E-2</v>
      </c>
    </row>
    <row r="147" spans="1:14" ht="16.5" x14ac:dyDescent="0.25">
      <c r="A147" s="24">
        <v>46168</v>
      </c>
      <c r="B147" s="7">
        <v>46168</v>
      </c>
      <c r="C147" s="25" t="str">
        <f t="shared" si="8"/>
        <v>26</v>
      </c>
      <c r="D147" s="8" t="s">
        <v>44</v>
      </c>
      <c r="E147" s="8" t="s">
        <v>57</v>
      </c>
      <c r="F147" s="12">
        <v>1000</v>
      </c>
      <c r="G147" s="12">
        <v>918</v>
      </c>
      <c r="H147" s="8" t="s">
        <v>50</v>
      </c>
      <c r="I147" s="12">
        <v>21</v>
      </c>
      <c r="J147" s="8" t="s">
        <v>51</v>
      </c>
      <c r="K147" s="8" t="s">
        <v>63</v>
      </c>
      <c r="L147" s="8" t="s">
        <v>48</v>
      </c>
      <c r="M147" s="13">
        <f t="shared" si="6"/>
        <v>0.91800000000000004</v>
      </c>
      <c r="N147" s="14">
        <f t="shared" si="7"/>
        <v>2.2875816993464051E-2</v>
      </c>
    </row>
    <row r="148" spans="1:14" ht="16.5" x14ac:dyDescent="0.25">
      <c r="A148" s="24">
        <v>46169</v>
      </c>
      <c r="B148" s="7">
        <v>46169</v>
      </c>
      <c r="C148" s="25" t="str">
        <f t="shared" si="8"/>
        <v>27</v>
      </c>
      <c r="D148" s="7" t="s">
        <v>53</v>
      </c>
      <c r="E148" s="7" t="s">
        <v>39</v>
      </c>
      <c r="F148" s="9">
        <v>1200</v>
      </c>
      <c r="G148" s="9">
        <v>1118</v>
      </c>
      <c r="H148" s="7" t="s">
        <v>45</v>
      </c>
      <c r="I148" s="9">
        <v>17</v>
      </c>
      <c r="J148" s="7" t="s">
        <v>46</v>
      </c>
      <c r="K148" s="7" t="s">
        <v>42</v>
      </c>
      <c r="L148" s="7" t="s">
        <v>48</v>
      </c>
      <c r="M148" s="10">
        <f t="shared" si="6"/>
        <v>0.93166666666666664</v>
      </c>
      <c r="N148" s="11">
        <f t="shared" si="7"/>
        <v>1.520572450805009E-2</v>
      </c>
    </row>
    <row r="149" spans="1:14" ht="16.5" x14ac:dyDescent="0.25">
      <c r="A149" s="24">
        <v>46170</v>
      </c>
      <c r="B149" s="7">
        <v>46170</v>
      </c>
      <c r="C149" s="25" t="str">
        <f t="shared" si="8"/>
        <v>28</v>
      </c>
      <c r="D149" s="8" t="s">
        <v>53</v>
      </c>
      <c r="E149" s="8" t="s">
        <v>57</v>
      </c>
      <c r="F149" s="12">
        <v>1500</v>
      </c>
      <c r="G149" s="12">
        <v>1331</v>
      </c>
      <c r="H149" s="8" t="s">
        <v>61</v>
      </c>
      <c r="I149" s="12">
        <v>55</v>
      </c>
      <c r="J149" s="8" t="s">
        <v>62</v>
      </c>
      <c r="K149" s="8" t="s">
        <v>47</v>
      </c>
      <c r="L149" s="8" t="s">
        <v>43</v>
      </c>
      <c r="M149" s="13">
        <f t="shared" si="6"/>
        <v>0.88733333333333331</v>
      </c>
      <c r="N149" s="14">
        <f t="shared" si="7"/>
        <v>4.1322314049586778E-2</v>
      </c>
    </row>
    <row r="150" spans="1:14" ht="16.5" x14ac:dyDescent="0.25">
      <c r="A150" s="24">
        <v>46171</v>
      </c>
      <c r="B150" s="7">
        <v>46171</v>
      </c>
      <c r="C150" s="25" t="str">
        <f t="shared" si="8"/>
        <v>29</v>
      </c>
      <c r="D150" s="7" t="s">
        <v>53</v>
      </c>
      <c r="E150" s="7" t="s">
        <v>57</v>
      </c>
      <c r="F150" s="9">
        <v>1000</v>
      </c>
      <c r="G150" s="9">
        <v>831</v>
      </c>
      <c r="H150" s="7" t="s">
        <v>54</v>
      </c>
      <c r="I150" s="9">
        <v>27</v>
      </c>
      <c r="J150" s="7" t="s">
        <v>55</v>
      </c>
      <c r="K150" s="7" t="s">
        <v>42</v>
      </c>
      <c r="L150" s="7" t="s">
        <v>56</v>
      </c>
      <c r="M150" s="10">
        <f t="shared" si="6"/>
        <v>0.83099999999999996</v>
      </c>
      <c r="N150" s="11">
        <f t="shared" si="7"/>
        <v>3.2490974729241874E-2</v>
      </c>
    </row>
    <row r="151" spans="1:14" ht="16.5" x14ac:dyDescent="0.25">
      <c r="A151" s="24">
        <v>46172</v>
      </c>
      <c r="B151" s="7">
        <v>46172</v>
      </c>
      <c r="C151" s="25" t="str">
        <f t="shared" si="8"/>
        <v>30</v>
      </c>
      <c r="D151" s="8" t="s">
        <v>44</v>
      </c>
      <c r="E151" s="8" t="s">
        <v>39</v>
      </c>
      <c r="F151" s="12">
        <v>1500</v>
      </c>
      <c r="G151" s="12">
        <v>1398</v>
      </c>
      <c r="H151" s="8" t="s">
        <v>40</v>
      </c>
      <c r="I151" s="12">
        <v>18</v>
      </c>
      <c r="J151" s="8" t="s">
        <v>41</v>
      </c>
      <c r="K151" s="8" t="s">
        <v>47</v>
      </c>
      <c r="L151" s="8" t="s">
        <v>43</v>
      </c>
      <c r="M151" s="13">
        <f t="shared" si="6"/>
        <v>0.93200000000000005</v>
      </c>
      <c r="N151" s="14">
        <f t="shared" si="7"/>
        <v>1.2875536480686695E-2</v>
      </c>
    </row>
    <row r="152" spans="1:14" ht="16.5" x14ac:dyDescent="0.25">
      <c r="A152" s="24">
        <v>46173</v>
      </c>
      <c r="B152" s="7">
        <v>46173</v>
      </c>
      <c r="C152" s="25" t="str">
        <f t="shared" si="8"/>
        <v>31</v>
      </c>
      <c r="D152" s="7" t="s">
        <v>53</v>
      </c>
      <c r="E152" s="7" t="s">
        <v>39</v>
      </c>
      <c r="F152" s="9">
        <v>1000</v>
      </c>
      <c r="G152" s="9">
        <v>923</v>
      </c>
      <c r="H152" s="7" t="s">
        <v>40</v>
      </c>
      <c r="I152" s="9">
        <v>5</v>
      </c>
      <c r="J152" s="7" t="s">
        <v>41</v>
      </c>
      <c r="K152" s="7" t="s">
        <v>52</v>
      </c>
      <c r="L152" s="7" t="s">
        <v>56</v>
      </c>
      <c r="M152" s="10">
        <f t="shared" si="6"/>
        <v>0.92300000000000004</v>
      </c>
      <c r="N152" s="11">
        <f t="shared" si="7"/>
        <v>5.4171180931744311E-3</v>
      </c>
    </row>
    <row r="153" spans="1:14" ht="16.5" x14ac:dyDescent="0.25">
      <c r="A153" s="24">
        <v>46174</v>
      </c>
      <c r="B153" s="7">
        <v>46174</v>
      </c>
      <c r="C153" s="25" t="str">
        <f t="shared" si="8"/>
        <v>01</v>
      </c>
      <c r="D153" s="8" t="s">
        <v>53</v>
      </c>
      <c r="E153" s="8" t="s">
        <v>49</v>
      </c>
      <c r="F153" s="12">
        <v>1200</v>
      </c>
      <c r="G153" s="12">
        <v>1029</v>
      </c>
      <c r="H153" s="8" t="s">
        <v>54</v>
      </c>
      <c r="I153" s="12">
        <v>45</v>
      </c>
      <c r="J153" s="8" t="s">
        <v>55</v>
      </c>
      <c r="K153" s="8" t="s">
        <v>47</v>
      </c>
      <c r="L153" s="8" t="s">
        <v>48</v>
      </c>
      <c r="M153" s="13">
        <f t="shared" si="6"/>
        <v>0.85750000000000004</v>
      </c>
      <c r="N153" s="14">
        <f t="shared" si="7"/>
        <v>4.3731778425655975E-2</v>
      </c>
    </row>
    <row r="154" spans="1:14" ht="16.5" x14ac:dyDescent="0.25">
      <c r="A154" s="24">
        <v>46175</v>
      </c>
      <c r="B154" s="7">
        <v>46175</v>
      </c>
      <c r="C154" s="25" t="str">
        <f t="shared" si="8"/>
        <v>02</v>
      </c>
      <c r="D154" s="7" t="s">
        <v>38</v>
      </c>
      <c r="E154" s="7" t="s">
        <v>49</v>
      </c>
      <c r="F154" s="9">
        <v>1500</v>
      </c>
      <c r="G154" s="9">
        <v>1245</v>
      </c>
      <c r="H154" s="7" t="s">
        <v>40</v>
      </c>
      <c r="I154" s="9">
        <v>18</v>
      </c>
      <c r="J154" s="7" t="s">
        <v>41</v>
      </c>
      <c r="K154" s="7" t="s">
        <v>42</v>
      </c>
      <c r="L154" s="7" t="s">
        <v>48</v>
      </c>
      <c r="M154" s="10">
        <f t="shared" si="6"/>
        <v>0.83</v>
      </c>
      <c r="N154" s="11">
        <f t="shared" si="7"/>
        <v>1.4457831325301205E-2</v>
      </c>
    </row>
    <row r="155" spans="1:14" ht="16.5" x14ac:dyDescent="0.25">
      <c r="A155" s="24">
        <v>46176</v>
      </c>
      <c r="B155" s="7">
        <v>46176</v>
      </c>
      <c r="C155" s="25" t="str">
        <f t="shared" si="8"/>
        <v>03</v>
      </c>
      <c r="D155" s="8" t="s">
        <v>53</v>
      </c>
      <c r="E155" s="8" t="s">
        <v>57</v>
      </c>
      <c r="F155" s="12">
        <v>1500</v>
      </c>
      <c r="G155" s="12">
        <v>1460</v>
      </c>
      <c r="H155" s="8" t="s">
        <v>45</v>
      </c>
      <c r="I155" s="12">
        <v>14</v>
      </c>
      <c r="J155" s="8" t="s">
        <v>46</v>
      </c>
      <c r="K155" s="8" t="s">
        <v>47</v>
      </c>
      <c r="L155" s="8" t="s">
        <v>48</v>
      </c>
      <c r="M155" s="13">
        <f t="shared" si="6"/>
        <v>0.97333333333333338</v>
      </c>
      <c r="N155" s="14">
        <f t="shared" si="7"/>
        <v>9.5890410958904115E-3</v>
      </c>
    </row>
    <row r="156" spans="1:14" ht="16.5" x14ac:dyDescent="0.25">
      <c r="A156" s="24">
        <v>46177</v>
      </c>
      <c r="B156" s="7">
        <v>46177</v>
      </c>
      <c r="C156" s="25" t="str">
        <f t="shared" si="8"/>
        <v>04</v>
      </c>
      <c r="D156" s="7" t="s">
        <v>60</v>
      </c>
      <c r="E156" s="7" t="s">
        <v>49</v>
      </c>
      <c r="F156" s="9">
        <v>1000</v>
      </c>
      <c r="G156" s="9">
        <v>838</v>
      </c>
      <c r="H156" s="7" t="s">
        <v>45</v>
      </c>
      <c r="I156" s="9">
        <v>27</v>
      </c>
      <c r="J156" s="7" t="s">
        <v>46</v>
      </c>
      <c r="K156" s="7" t="s">
        <v>63</v>
      </c>
      <c r="L156" s="7" t="s">
        <v>48</v>
      </c>
      <c r="M156" s="10">
        <f t="shared" si="6"/>
        <v>0.83799999999999997</v>
      </c>
      <c r="N156" s="11">
        <f t="shared" si="7"/>
        <v>3.2219570405727926E-2</v>
      </c>
    </row>
    <row r="157" spans="1:14" ht="16.5" x14ac:dyDescent="0.25">
      <c r="A157" s="24">
        <v>46178</v>
      </c>
      <c r="B157" s="7">
        <v>46178</v>
      </c>
      <c r="C157" s="25" t="str">
        <f t="shared" si="8"/>
        <v>05</v>
      </c>
      <c r="D157" s="8" t="s">
        <v>44</v>
      </c>
      <c r="E157" s="8" t="s">
        <v>57</v>
      </c>
      <c r="F157" s="12">
        <v>1200</v>
      </c>
      <c r="G157" s="12">
        <v>1029</v>
      </c>
      <c r="H157" s="8" t="s">
        <v>40</v>
      </c>
      <c r="I157" s="12">
        <v>41</v>
      </c>
      <c r="J157" s="8" t="s">
        <v>41</v>
      </c>
      <c r="K157" s="8" t="s">
        <v>52</v>
      </c>
      <c r="L157" s="8" t="s">
        <v>48</v>
      </c>
      <c r="M157" s="13">
        <f t="shared" si="6"/>
        <v>0.85750000000000004</v>
      </c>
      <c r="N157" s="14">
        <f t="shared" si="7"/>
        <v>3.9844509232264333E-2</v>
      </c>
    </row>
    <row r="158" spans="1:14" ht="16.5" x14ac:dyDescent="0.25">
      <c r="A158" s="24">
        <v>46179</v>
      </c>
      <c r="B158" s="7">
        <v>46179</v>
      </c>
      <c r="C158" s="25" t="str">
        <f t="shared" si="8"/>
        <v>06</v>
      </c>
      <c r="D158" s="7" t="s">
        <v>44</v>
      </c>
      <c r="E158" s="7" t="s">
        <v>57</v>
      </c>
      <c r="F158" s="9">
        <v>1500</v>
      </c>
      <c r="G158" s="9">
        <v>1449</v>
      </c>
      <c r="H158" s="7" t="s">
        <v>50</v>
      </c>
      <c r="I158" s="9">
        <v>43</v>
      </c>
      <c r="J158" s="7" t="s">
        <v>51</v>
      </c>
      <c r="K158" s="7" t="s">
        <v>63</v>
      </c>
      <c r="L158" s="7" t="s">
        <v>48</v>
      </c>
      <c r="M158" s="10">
        <f t="shared" si="6"/>
        <v>0.96599999999999997</v>
      </c>
      <c r="N158" s="11">
        <f t="shared" si="7"/>
        <v>2.9675638371290544E-2</v>
      </c>
    </row>
    <row r="159" spans="1:14" ht="16.5" x14ac:dyDescent="0.25">
      <c r="A159" s="24">
        <v>46180</v>
      </c>
      <c r="B159" s="7">
        <v>46180</v>
      </c>
      <c r="C159" s="25" t="str">
        <f t="shared" si="8"/>
        <v>07</v>
      </c>
      <c r="D159" s="8" t="s">
        <v>44</v>
      </c>
      <c r="E159" s="8" t="s">
        <v>57</v>
      </c>
      <c r="F159" s="12">
        <v>1000</v>
      </c>
      <c r="G159" s="12">
        <v>954</v>
      </c>
      <c r="H159" s="8" t="s">
        <v>58</v>
      </c>
      <c r="I159" s="12">
        <v>26</v>
      </c>
      <c r="J159" s="8" t="s">
        <v>59</v>
      </c>
      <c r="K159" s="8" t="s">
        <v>63</v>
      </c>
      <c r="L159" s="8" t="s">
        <v>43</v>
      </c>
      <c r="M159" s="13">
        <f t="shared" si="6"/>
        <v>0.95399999999999996</v>
      </c>
      <c r="N159" s="14">
        <f t="shared" si="7"/>
        <v>2.7253668763102725E-2</v>
      </c>
    </row>
    <row r="160" spans="1:14" ht="16.5" x14ac:dyDescent="0.25">
      <c r="A160" s="24">
        <v>46181</v>
      </c>
      <c r="B160" s="7">
        <v>46181</v>
      </c>
      <c r="C160" s="25" t="str">
        <f t="shared" si="8"/>
        <v>08</v>
      </c>
      <c r="D160" s="7" t="s">
        <v>60</v>
      </c>
      <c r="E160" s="7" t="s">
        <v>49</v>
      </c>
      <c r="F160" s="9">
        <v>1000</v>
      </c>
      <c r="G160" s="9">
        <v>899</v>
      </c>
      <c r="H160" s="7" t="s">
        <v>40</v>
      </c>
      <c r="I160" s="9">
        <v>39</v>
      </c>
      <c r="J160" s="7" t="s">
        <v>41</v>
      </c>
      <c r="K160" s="7" t="s">
        <v>42</v>
      </c>
      <c r="L160" s="7" t="s">
        <v>48</v>
      </c>
      <c r="M160" s="10">
        <f t="shared" si="6"/>
        <v>0.89900000000000002</v>
      </c>
      <c r="N160" s="11">
        <f t="shared" si="7"/>
        <v>4.3381535038932148E-2</v>
      </c>
    </row>
    <row r="161" spans="1:14" ht="16.5" x14ac:dyDescent="0.25">
      <c r="A161" s="24">
        <v>46182</v>
      </c>
      <c r="B161" s="7">
        <v>46182</v>
      </c>
      <c r="C161" s="25" t="str">
        <f t="shared" si="8"/>
        <v>09</v>
      </c>
      <c r="D161" s="8" t="s">
        <v>53</v>
      </c>
      <c r="E161" s="8" t="s">
        <v>57</v>
      </c>
      <c r="F161" s="12">
        <v>1000</v>
      </c>
      <c r="G161" s="12">
        <v>875</v>
      </c>
      <c r="H161" s="8" t="s">
        <v>54</v>
      </c>
      <c r="I161" s="12">
        <v>50</v>
      </c>
      <c r="J161" s="8" t="s">
        <v>55</v>
      </c>
      <c r="K161" s="8" t="s">
        <v>42</v>
      </c>
      <c r="L161" s="8" t="s">
        <v>56</v>
      </c>
      <c r="M161" s="13">
        <f t="shared" si="6"/>
        <v>0.875</v>
      </c>
      <c r="N161" s="14">
        <f t="shared" si="7"/>
        <v>5.7142857142857141E-2</v>
      </c>
    </row>
    <row r="162" spans="1:14" ht="16.5" x14ac:dyDescent="0.25">
      <c r="A162" s="24">
        <v>46183</v>
      </c>
      <c r="B162" s="7">
        <v>46183</v>
      </c>
      <c r="C162" s="25" t="str">
        <f t="shared" si="8"/>
        <v>10</v>
      </c>
      <c r="D162" s="7" t="s">
        <v>60</v>
      </c>
      <c r="E162" s="7" t="s">
        <v>39</v>
      </c>
      <c r="F162" s="9">
        <v>1000</v>
      </c>
      <c r="G162" s="9">
        <v>922</v>
      </c>
      <c r="H162" s="7" t="s">
        <v>50</v>
      </c>
      <c r="I162" s="9">
        <v>38</v>
      </c>
      <c r="J162" s="7" t="s">
        <v>51</v>
      </c>
      <c r="K162" s="7" t="s">
        <v>52</v>
      </c>
      <c r="L162" s="7" t="s">
        <v>48</v>
      </c>
      <c r="M162" s="10">
        <f t="shared" si="6"/>
        <v>0.92200000000000004</v>
      </c>
      <c r="N162" s="11">
        <f t="shared" si="7"/>
        <v>4.1214750542299353E-2</v>
      </c>
    </row>
    <row r="163" spans="1:14" ht="16.5" x14ac:dyDescent="0.25">
      <c r="A163" s="24">
        <v>46184</v>
      </c>
      <c r="B163" s="7">
        <v>46184</v>
      </c>
      <c r="C163" s="25" t="str">
        <f t="shared" si="8"/>
        <v>11</v>
      </c>
      <c r="D163" s="8" t="s">
        <v>44</v>
      </c>
      <c r="E163" s="8" t="s">
        <v>57</v>
      </c>
      <c r="F163" s="12">
        <v>1200</v>
      </c>
      <c r="G163" s="12">
        <v>1119</v>
      </c>
      <c r="H163" s="8" t="s">
        <v>45</v>
      </c>
      <c r="I163" s="12">
        <v>27</v>
      </c>
      <c r="J163" s="8" t="s">
        <v>46</v>
      </c>
      <c r="K163" s="8" t="s">
        <v>52</v>
      </c>
      <c r="L163" s="8" t="s">
        <v>48</v>
      </c>
      <c r="M163" s="13">
        <f t="shared" si="6"/>
        <v>0.9325</v>
      </c>
      <c r="N163" s="14">
        <f t="shared" si="7"/>
        <v>2.4128686327077747E-2</v>
      </c>
    </row>
    <row r="164" spans="1:14" ht="16.5" x14ac:dyDescent="0.25">
      <c r="A164" s="24">
        <v>46185</v>
      </c>
      <c r="B164" s="7">
        <v>46185</v>
      </c>
      <c r="C164" s="25" t="str">
        <f t="shared" si="8"/>
        <v>12</v>
      </c>
      <c r="D164" s="7" t="s">
        <v>53</v>
      </c>
      <c r="E164" s="7" t="s">
        <v>39</v>
      </c>
      <c r="F164" s="9">
        <v>1000</v>
      </c>
      <c r="G164" s="9">
        <v>974</v>
      </c>
      <c r="H164" s="7" t="s">
        <v>58</v>
      </c>
      <c r="I164" s="9">
        <v>13</v>
      </c>
      <c r="J164" s="7" t="s">
        <v>59</v>
      </c>
      <c r="K164" s="7" t="s">
        <v>52</v>
      </c>
      <c r="L164" s="7" t="s">
        <v>43</v>
      </c>
      <c r="M164" s="10">
        <f t="shared" si="6"/>
        <v>0.97399999999999998</v>
      </c>
      <c r="N164" s="11">
        <f t="shared" si="7"/>
        <v>1.3347022587268994E-2</v>
      </c>
    </row>
    <row r="165" spans="1:14" ht="16.5" x14ac:dyDescent="0.25">
      <c r="A165" s="24">
        <v>46186</v>
      </c>
      <c r="B165" s="7">
        <v>46186</v>
      </c>
      <c r="C165" s="25" t="str">
        <f t="shared" si="8"/>
        <v>13</v>
      </c>
      <c r="D165" s="8" t="s">
        <v>38</v>
      </c>
      <c r="E165" s="8" t="s">
        <v>39</v>
      </c>
      <c r="F165" s="12">
        <v>1200</v>
      </c>
      <c r="G165" s="12">
        <v>997</v>
      </c>
      <c r="H165" s="8" t="s">
        <v>40</v>
      </c>
      <c r="I165" s="12">
        <v>11</v>
      </c>
      <c r="J165" s="8" t="s">
        <v>41</v>
      </c>
      <c r="K165" s="8" t="s">
        <v>47</v>
      </c>
      <c r="L165" s="8" t="s">
        <v>43</v>
      </c>
      <c r="M165" s="13">
        <f t="shared" si="6"/>
        <v>0.83083333333333331</v>
      </c>
      <c r="N165" s="14">
        <f t="shared" si="7"/>
        <v>1.1033099297893681E-2</v>
      </c>
    </row>
    <row r="166" spans="1:14" ht="16.5" x14ac:dyDescent="0.25">
      <c r="A166" s="24">
        <v>46187</v>
      </c>
      <c r="B166" s="7">
        <v>46187</v>
      </c>
      <c r="C166" s="25" t="str">
        <f t="shared" si="8"/>
        <v>14</v>
      </c>
      <c r="D166" s="7" t="s">
        <v>38</v>
      </c>
      <c r="E166" s="7" t="s">
        <v>39</v>
      </c>
      <c r="F166" s="9">
        <v>1000</v>
      </c>
      <c r="G166" s="9">
        <v>1009</v>
      </c>
      <c r="H166" s="7" t="s">
        <v>45</v>
      </c>
      <c r="I166" s="9">
        <v>8</v>
      </c>
      <c r="J166" s="7" t="s">
        <v>46</v>
      </c>
      <c r="K166" s="7" t="s">
        <v>52</v>
      </c>
      <c r="L166" s="7" t="s">
        <v>48</v>
      </c>
      <c r="M166" s="10">
        <f t="shared" si="6"/>
        <v>1.0089999999999999</v>
      </c>
      <c r="N166" s="11">
        <f t="shared" si="7"/>
        <v>7.9286422200198214E-3</v>
      </c>
    </row>
    <row r="167" spans="1:14" ht="16.5" x14ac:dyDescent="0.25">
      <c r="A167" s="24">
        <v>46188</v>
      </c>
      <c r="B167" s="7">
        <v>46188</v>
      </c>
      <c r="C167" s="25" t="str">
        <f t="shared" si="8"/>
        <v>15</v>
      </c>
      <c r="D167" s="8" t="s">
        <v>44</v>
      </c>
      <c r="E167" s="8" t="s">
        <v>39</v>
      </c>
      <c r="F167" s="12">
        <v>1500</v>
      </c>
      <c r="G167" s="12">
        <v>1439</v>
      </c>
      <c r="H167" s="8" t="s">
        <v>58</v>
      </c>
      <c r="I167" s="12">
        <v>20</v>
      </c>
      <c r="J167" s="8" t="s">
        <v>59</v>
      </c>
      <c r="K167" s="8" t="s">
        <v>42</v>
      </c>
      <c r="L167" s="8" t="s">
        <v>56</v>
      </c>
      <c r="M167" s="13">
        <f t="shared" si="6"/>
        <v>0.95933333333333337</v>
      </c>
      <c r="N167" s="14">
        <f t="shared" si="7"/>
        <v>1.3898540653231411E-2</v>
      </c>
    </row>
    <row r="168" spans="1:14" ht="16.5" x14ac:dyDescent="0.25">
      <c r="A168" s="24">
        <v>46189</v>
      </c>
      <c r="B168" s="7">
        <v>46189</v>
      </c>
      <c r="C168" s="25" t="str">
        <f t="shared" si="8"/>
        <v>16</v>
      </c>
      <c r="D168" s="7" t="s">
        <v>44</v>
      </c>
      <c r="E168" s="7" t="s">
        <v>49</v>
      </c>
      <c r="F168" s="9">
        <v>1000</v>
      </c>
      <c r="G168" s="9">
        <v>1004</v>
      </c>
      <c r="H168" s="7" t="s">
        <v>61</v>
      </c>
      <c r="I168" s="9">
        <v>32</v>
      </c>
      <c r="J168" s="7" t="s">
        <v>62</v>
      </c>
      <c r="K168" s="7" t="s">
        <v>47</v>
      </c>
      <c r="L168" s="7" t="s">
        <v>48</v>
      </c>
      <c r="M168" s="10">
        <f t="shared" si="6"/>
        <v>1.004</v>
      </c>
      <c r="N168" s="11">
        <f t="shared" si="7"/>
        <v>3.1872509960159362E-2</v>
      </c>
    </row>
    <row r="169" spans="1:14" ht="16.5" x14ac:dyDescent="0.25">
      <c r="A169" s="24">
        <v>46190</v>
      </c>
      <c r="B169" s="7">
        <v>46190</v>
      </c>
      <c r="C169" s="25" t="str">
        <f t="shared" si="8"/>
        <v>17</v>
      </c>
      <c r="D169" s="8" t="s">
        <v>60</v>
      </c>
      <c r="E169" s="8" t="s">
        <v>57</v>
      </c>
      <c r="F169" s="12">
        <v>1500</v>
      </c>
      <c r="G169" s="12">
        <v>1522</v>
      </c>
      <c r="H169" s="8" t="s">
        <v>40</v>
      </c>
      <c r="I169" s="12">
        <v>22</v>
      </c>
      <c r="J169" s="8" t="s">
        <v>41</v>
      </c>
      <c r="K169" s="8" t="s">
        <v>63</v>
      </c>
      <c r="L169" s="8" t="s">
        <v>48</v>
      </c>
      <c r="M169" s="13">
        <f t="shared" si="6"/>
        <v>1.0146666666666666</v>
      </c>
      <c r="N169" s="14">
        <f t="shared" si="7"/>
        <v>1.4454664914586071E-2</v>
      </c>
    </row>
    <row r="170" spans="1:14" ht="16.5" x14ac:dyDescent="0.25">
      <c r="A170" s="24">
        <v>46191</v>
      </c>
      <c r="B170" s="7">
        <v>46191</v>
      </c>
      <c r="C170" s="25" t="str">
        <f t="shared" si="8"/>
        <v>18</v>
      </c>
      <c r="D170" s="7" t="s">
        <v>60</v>
      </c>
      <c r="E170" s="7" t="s">
        <v>39</v>
      </c>
      <c r="F170" s="9">
        <v>1500</v>
      </c>
      <c r="G170" s="9">
        <v>1276</v>
      </c>
      <c r="H170" s="7" t="s">
        <v>58</v>
      </c>
      <c r="I170" s="9">
        <v>42</v>
      </c>
      <c r="J170" s="7" t="s">
        <v>59</v>
      </c>
      <c r="K170" s="7" t="s">
        <v>47</v>
      </c>
      <c r="L170" s="7" t="s">
        <v>56</v>
      </c>
      <c r="M170" s="10">
        <f t="shared" si="6"/>
        <v>0.85066666666666668</v>
      </c>
      <c r="N170" s="11">
        <f t="shared" si="7"/>
        <v>3.2915360501567396E-2</v>
      </c>
    </row>
    <row r="171" spans="1:14" ht="16.5" x14ac:dyDescent="0.25">
      <c r="A171" s="24">
        <v>46192</v>
      </c>
      <c r="B171" s="7">
        <v>46192</v>
      </c>
      <c r="C171" s="25" t="str">
        <f t="shared" si="8"/>
        <v>19</v>
      </c>
      <c r="D171" s="8" t="s">
        <v>38</v>
      </c>
      <c r="E171" s="8" t="s">
        <v>49</v>
      </c>
      <c r="F171" s="12">
        <v>1000</v>
      </c>
      <c r="G171" s="12">
        <v>827</v>
      </c>
      <c r="H171" s="8" t="s">
        <v>40</v>
      </c>
      <c r="I171" s="12">
        <v>52</v>
      </c>
      <c r="J171" s="8" t="s">
        <v>41</v>
      </c>
      <c r="K171" s="8" t="s">
        <v>63</v>
      </c>
      <c r="L171" s="8" t="s">
        <v>48</v>
      </c>
      <c r="M171" s="13">
        <f t="shared" si="6"/>
        <v>0.82699999999999996</v>
      </c>
      <c r="N171" s="14">
        <f t="shared" si="7"/>
        <v>6.2877871825876661E-2</v>
      </c>
    </row>
    <row r="172" spans="1:14" ht="16.5" x14ac:dyDescent="0.25">
      <c r="A172" s="24">
        <v>46193</v>
      </c>
      <c r="B172" s="7">
        <v>46193</v>
      </c>
      <c r="C172" s="25" t="str">
        <f t="shared" si="8"/>
        <v>20</v>
      </c>
      <c r="D172" s="7" t="s">
        <v>53</v>
      </c>
      <c r="E172" s="7" t="s">
        <v>57</v>
      </c>
      <c r="F172" s="9">
        <v>1200</v>
      </c>
      <c r="G172" s="9">
        <v>1162</v>
      </c>
      <c r="H172" s="7" t="s">
        <v>50</v>
      </c>
      <c r="I172" s="9">
        <v>29</v>
      </c>
      <c r="J172" s="7" t="s">
        <v>51</v>
      </c>
      <c r="K172" s="7" t="s">
        <v>47</v>
      </c>
      <c r="L172" s="7" t="s">
        <v>48</v>
      </c>
      <c r="M172" s="10">
        <f t="shared" si="6"/>
        <v>0.96833333333333338</v>
      </c>
      <c r="N172" s="11">
        <f t="shared" si="7"/>
        <v>2.4956970740103269E-2</v>
      </c>
    </row>
    <row r="173" spans="1:14" ht="16.5" x14ac:dyDescent="0.25">
      <c r="A173" s="24">
        <v>46194</v>
      </c>
      <c r="B173" s="7">
        <v>46194</v>
      </c>
      <c r="C173" s="25" t="str">
        <f t="shared" si="8"/>
        <v>21</v>
      </c>
      <c r="D173" s="8" t="s">
        <v>53</v>
      </c>
      <c r="E173" s="8" t="s">
        <v>57</v>
      </c>
      <c r="F173" s="12">
        <v>1500</v>
      </c>
      <c r="G173" s="12">
        <v>1343</v>
      </c>
      <c r="H173" s="8" t="s">
        <v>58</v>
      </c>
      <c r="I173" s="12">
        <v>27</v>
      </c>
      <c r="J173" s="8" t="s">
        <v>59</v>
      </c>
      <c r="K173" s="8" t="s">
        <v>47</v>
      </c>
      <c r="L173" s="8" t="s">
        <v>48</v>
      </c>
      <c r="M173" s="13">
        <f t="shared" si="6"/>
        <v>0.89533333333333331</v>
      </c>
      <c r="N173" s="14">
        <f t="shared" si="7"/>
        <v>2.0104244229337303E-2</v>
      </c>
    </row>
    <row r="174" spans="1:14" ht="16.5" x14ac:dyDescent="0.25">
      <c r="A174" s="24">
        <v>46195</v>
      </c>
      <c r="B174" s="7">
        <v>46195</v>
      </c>
      <c r="C174" s="25" t="str">
        <f t="shared" si="8"/>
        <v>22</v>
      </c>
      <c r="D174" s="7" t="s">
        <v>53</v>
      </c>
      <c r="E174" s="7" t="s">
        <v>57</v>
      </c>
      <c r="F174" s="9">
        <v>1000</v>
      </c>
      <c r="G174" s="9">
        <v>858</v>
      </c>
      <c r="H174" s="7" t="s">
        <v>40</v>
      </c>
      <c r="I174" s="9">
        <v>9</v>
      </c>
      <c r="J174" s="7" t="s">
        <v>41</v>
      </c>
      <c r="K174" s="7" t="s">
        <v>52</v>
      </c>
      <c r="L174" s="7" t="s">
        <v>48</v>
      </c>
      <c r="M174" s="10">
        <f t="shared" si="6"/>
        <v>0.85799999999999998</v>
      </c>
      <c r="N174" s="11">
        <f t="shared" si="7"/>
        <v>1.048951048951049E-2</v>
      </c>
    </row>
    <row r="175" spans="1:14" ht="16.5" x14ac:dyDescent="0.25">
      <c r="A175" s="24">
        <v>46196</v>
      </c>
      <c r="B175" s="7">
        <v>46196</v>
      </c>
      <c r="C175" s="25" t="str">
        <f t="shared" si="8"/>
        <v>23</v>
      </c>
      <c r="D175" s="8" t="s">
        <v>38</v>
      </c>
      <c r="E175" s="8" t="s">
        <v>49</v>
      </c>
      <c r="F175" s="12">
        <v>1000</v>
      </c>
      <c r="G175" s="12">
        <v>930</v>
      </c>
      <c r="H175" s="8" t="s">
        <v>58</v>
      </c>
      <c r="I175" s="12">
        <v>27</v>
      </c>
      <c r="J175" s="8" t="s">
        <v>59</v>
      </c>
      <c r="K175" s="8" t="s">
        <v>52</v>
      </c>
      <c r="L175" s="8" t="s">
        <v>43</v>
      </c>
      <c r="M175" s="13">
        <f t="shared" si="6"/>
        <v>0.93</v>
      </c>
      <c r="N175" s="14">
        <f t="shared" si="7"/>
        <v>2.903225806451613E-2</v>
      </c>
    </row>
    <row r="176" spans="1:14" ht="16.5" x14ac:dyDescent="0.25">
      <c r="A176" s="24">
        <v>46197</v>
      </c>
      <c r="B176" s="7">
        <v>46197</v>
      </c>
      <c r="C176" s="25" t="str">
        <f t="shared" si="8"/>
        <v>24</v>
      </c>
      <c r="D176" s="7" t="s">
        <v>60</v>
      </c>
      <c r="E176" s="7" t="s">
        <v>39</v>
      </c>
      <c r="F176" s="9">
        <v>1500</v>
      </c>
      <c r="G176" s="9">
        <v>1500</v>
      </c>
      <c r="H176" s="7" t="s">
        <v>58</v>
      </c>
      <c r="I176" s="9">
        <v>16</v>
      </c>
      <c r="J176" s="7" t="s">
        <v>59</v>
      </c>
      <c r="K176" s="7" t="s">
        <v>63</v>
      </c>
      <c r="L176" s="7" t="s">
        <v>56</v>
      </c>
      <c r="M176" s="10">
        <f t="shared" si="6"/>
        <v>1</v>
      </c>
      <c r="N176" s="11">
        <f t="shared" si="7"/>
        <v>1.0666666666666666E-2</v>
      </c>
    </row>
    <row r="177" spans="1:14" ht="16.5" x14ac:dyDescent="0.25">
      <c r="A177" s="24">
        <v>46198</v>
      </c>
      <c r="B177" s="7">
        <v>46198</v>
      </c>
      <c r="C177" s="25" t="str">
        <f t="shared" si="8"/>
        <v>25</v>
      </c>
      <c r="D177" s="8" t="s">
        <v>60</v>
      </c>
      <c r="E177" s="8" t="s">
        <v>49</v>
      </c>
      <c r="F177" s="12">
        <v>1000</v>
      </c>
      <c r="G177" s="12">
        <v>1010</v>
      </c>
      <c r="H177" s="8" t="s">
        <v>40</v>
      </c>
      <c r="I177" s="12">
        <v>35</v>
      </c>
      <c r="J177" s="8" t="s">
        <v>41</v>
      </c>
      <c r="K177" s="8" t="s">
        <v>47</v>
      </c>
      <c r="L177" s="8" t="s">
        <v>56</v>
      </c>
      <c r="M177" s="13">
        <f t="shared" si="6"/>
        <v>1.01</v>
      </c>
      <c r="N177" s="14">
        <f t="shared" si="7"/>
        <v>3.4653465346534656E-2</v>
      </c>
    </row>
    <row r="178" spans="1:14" ht="16.5" x14ac:dyDescent="0.25">
      <c r="A178" s="24">
        <v>46199</v>
      </c>
      <c r="B178" s="7">
        <v>46199</v>
      </c>
      <c r="C178" s="25" t="str">
        <f t="shared" si="8"/>
        <v>26</v>
      </c>
      <c r="D178" s="7" t="s">
        <v>38</v>
      </c>
      <c r="E178" s="7" t="s">
        <v>57</v>
      </c>
      <c r="F178" s="9">
        <v>1200</v>
      </c>
      <c r="G178" s="9">
        <v>989</v>
      </c>
      <c r="H178" s="7" t="s">
        <v>50</v>
      </c>
      <c r="I178" s="9">
        <v>41</v>
      </c>
      <c r="J178" s="7" t="s">
        <v>51</v>
      </c>
      <c r="K178" s="7" t="s">
        <v>47</v>
      </c>
      <c r="L178" s="7" t="s">
        <v>48</v>
      </c>
      <c r="M178" s="10">
        <f t="shared" si="6"/>
        <v>0.82416666666666671</v>
      </c>
      <c r="N178" s="11">
        <f t="shared" si="7"/>
        <v>4.1456016177957536E-2</v>
      </c>
    </row>
    <row r="179" spans="1:14" ht="16.5" x14ac:dyDescent="0.25">
      <c r="A179" s="24">
        <v>46200</v>
      </c>
      <c r="B179" s="7">
        <v>46200</v>
      </c>
      <c r="C179" s="25" t="str">
        <f t="shared" si="8"/>
        <v>27</v>
      </c>
      <c r="D179" s="8" t="s">
        <v>38</v>
      </c>
      <c r="E179" s="8" t="s">
        <v>49</v>
      </c>
      <c r="F179" s="12">
        <v>1500</v>
      </c>
      <c r="G179" s="12">
        <v>1278</v>
      </c>
      <c r="H179" s="8" t="s">
        <v>58</v>
      </c>
      <c r="I179" s="12">
        <v>29</v>
      </c>
      <c r="J179" s="8" t="s">
        <v>59</v>
      </c>
      <c r="K179" s="8" t="s">
        <v>63</v>
      </c>
      <c r="L179" s="8" t="s">
        <v>48</v>
      </c>
      <c r="M179" s="13">
        <f t="shared" si="6"/>
        <v>0.85199999999999998</v>
      </c>
      <c r="N179" s="14">
        <f t="shared" si="7"/>
        <v>2.2691705790297341E-2</v>
      </c>
    </row>
    <row r="180" spans="1:14" ht="16.5" x14ac:dyDescent="0.25">
      <c r="A180" s="24">
        <v>46201</v>
      </c>
      <c r="B180" s="7">
        <v>46201</v>
      </c>
      <c r="C180" s="25" t="str">
        <f t="shared" si="8"/>
        <v>28</v>
      </c>
      <c r="D180" s="7" t="s">
        <v>44</v>
      </c>
      <c r="E180" s="7" t="s">
        <v>49</v>
      </c>
      <c r="F180" s="9">
        <v>1500</v>
      </c>
      <c r="G180" s="9">
        <v>1397</v>
      </c>
      <c r="H180" s="7" t="s">
        <v>40</v>
      </c>
      <c r="I180" s="9">
        <v>24</v>
      </c>
      <c r="J180" s="7" t="s">
        <v>41</v>
      </c>
      <c r="K180" s="7" t="s">
        <v>63</v>
      </c>
      <c r="L180" s="7" t="s">
        <v>56</v>
      </c>
      <c r="M180" s="10">
        <f t="shared" si="6"/>
        <v>0.93133333333333335</v>
      </c>
      <c r="N180" s="11">
        <f t="shared" si="7"/>
        <v>1.7179670722977811E-2</v>
      </c>
    </row>
    <row r="181" spans="1:14" ht="16.5" x14ac:dyDescent="0.25">
      <c r="A181" s="24">
        <v>46202</v>
      </c>
      <c r="B181" s="7">
        <v>46202</v>
      </c>
      <c r="C181" s="25" t="str">
        <f t="shared" si="8"/>
        <v>29</v>
      </c>
      <c r="D181" s="8" t="s">
        <v>60</v>
      </c>
      <c r="E181" s="8" t="s">
        <v>39</v>
      </c>
      <c r="F181" s="12">
        <v>1000</v>
      </c>
      <c r="G181" s="12">
        <v>887</v>
      </c>
      <c r="H181" s="8" t="s">
        <v>40</v>
      </c>
      <c r="I181" s="12">
        <v>6</v>
      </c>
      <c r="J181" s="8" t="s">
        <v>41</v>
      </c>
      <c r="K181" s="8" t="s">
        <v>63</v>
      </c>
      <c r="L181" s="8" t="s">
        <v>48</v>
      </c>
      <c r="M181" s="13">
        <f t="shared" si="6"/>
        <v>0.88700000000000001</v>
      </c>
      <c r="N181" s="14">
        <f t="shared" si="7"/>
        <v>6.7643742953776773E-3</v>
      </c>
    </row>
    <row r="182" spans="1:14" ht="16.5" x14ac:dyDescent="0.25">
      <c r="A182" s="24">
        <v>46203</v>
      </c>
      <c r="B182" s="7">
        <v>46203</v>
      </c>
      <c r="C182" s="25" t="str">
        <f t="shared" si="8"/>
        <v>30</v>
      </c>
      <c r="D182" s="7" t="s">
        <v>60</v>
      </c>
      <c r="E182" s="7" t="s">
        <v>39</v>
      </c>
      <c r="F182" s="9">
        <v>1200</v>
      </c>
      <c r="G182" s="9">
        <v>1161</v>
      </c>
      <c r="H182" s="7" t="s">
        <v>58</v>
      </c>
      <c r="I182" s="9">
        <v>40</v>
      </c>
      <c r="J182" s="7" t="s">
        <v>59</v>
      </c>
      <c r="K182" s="7" t="s">
        <v>47</v>
      </c>
      <c r="L182" s="7" t="s">
        <v>48</v>
      </c>
      <c r="M182" s="10">
        <f t="shared" si="6"/>
        <v>0.96750000000000003</v>
      </c>
      <c r="N182" s="11">
        <f t="shared" si="7"/>
        <v>3.4453057708871665E-2</v>
      </c>
    </row>
    <row r="231" spans="2:2" x14ac:dyDescent="0.25">
      <c r="B231">
        <v>365</v>
      </c>
    </row>
    <row r="252" spans="2:3" ht="16.5" x14ac:dyDescent="0.25">
      <c r="B252" s="26"/>
      <c r="C252" s="2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75A0F-7FC7-4575-B6F4-1D590C3979E3}">
  <dimension ref="A1:L28"/>
  <sheetViews>
    <sheetView workbookViewId="0">
      <selection activeCell="A3" sqref="A3:L28"/>
    </sheetView>
  </sheetViews>
  <sheetFormatPr defaultRowHeight="15" x14ac:dyDescent="0.25"/>
  <cols>
    <col min="1" max="1" width="10.7109375" bestFit="1" customWidth="1"/>
    <col min="2" max="2" width="17.28515625" bestFit="1" customWidth="1"/>
    <col min="3" max="3" width="9.28515625" bestFit="1" customWidth="1"/>
    <col min="4" max="5" width="22" bestFit="1" customWidth="1"/>
    <col min="6" max="6" width="21.42578125" bestFit="1" customWidth="1"/>
    <col min="7" max="7" width="19" bestFit="1" customWidth="1"/>
    <col min="8" max="8" width="54.140625" bestFit="1" customWidth="1"/>
    <col min="9" max="9" width="25.7109375" bestFit="1" customWidth="1"/>
    <col min="10" max="10" width="19.42578125" bestFit="1" customWidth="1"/>
    <col min="11" max="11" width="20.7109375" bestFit="1" customWidth="1"/>
    <col min="12" max="12" width="17.140625" bestFit="1" customWidth="1"/>
  </cols>
  <sheetData>
    <row r="1" spans="1:12" x14ac:dyDescent="0.25">
      <c r="A1" s="22" t="s">
        <v>79</v>
      </c>
    </row>
    <row r="3" spans="1:12" x14ac:dyDescent="0.25">
      <c r="A3" t="s">
        <v>26</v>
      </c>
      <c r="B3" t="s">
        <v>27</v>
      </c>
      <c r="C3" t="s">
        <v>28</v>
      </c>
      <c r="D3" t="s">
        <v>29</v>
      </c>
      <c r="E3" t="s">
        <v>30</v>
      </c>
      <c r="F3" t="s">
        <v>31</v>
      </c>
      <c r="G3" t="s">
        <v>32</v>
      </c>
      <c r="H3" t="s">
        <v>33</v>
      </c>
      <c r="I3" t="s">
        <v>34</v>
      </c>
      <c r="J3" t="s">
        <v>35</v>
      </c>
      <c r="K3" t="s">
        <v>36</v>
      </c>
      <c r="L3" t="s">
        <v>37</v>
      </c>
    </row>
    <row r="4" spans="1:12" x14ac:dyDescent="0.25">
      <c r="A4" s="21">
        <v>46186</v>
      </c>
      <c r="B4" t="s">
        <v>60</v>
      </c>
      <c r="C4" t="s">
        <v>49</v>
      </c>
      <c r="D4">
        <v>1000</v>
      </c>
      <c r="E4">
        <v>886</v>
      </c>
      <c r="F4" t="s">
        <v>40</v>
      </c>
      <c r="G4">
        <v>57</v>
      </c>
      <c r="H4" t="s">
        <v>41</v>
      </c>
      <c r="I4" t="s">
        <v>47</v>
      </c>
      <c r="J4" t="s">
        <v>48</v>
      </c>
      <c r="K4">
        <v>0.88600000000000001</v>
      </c>
      <c r="L4">
        <v>6.4334085778781039E-2</v>
      </c>
    </row>
    <row r="5" spans="1:12" x14ac:dyDescent="0.25">
      <c r="A5" s="21">
        <v>46177</v>
      </c>
      <c r="B5" t="s">
        <v>60</v>
      </c>
      <c r="C5" t="s">
        <v>49</v>
      </c>
      <c r="D5">
        <v>1000</v>
      </c>
      <c r="E5">
        <v>875</v>
      </c>
      <c r="F5" t="s">
        <v>40</v>
      </c>
      <c r="G5">
        <v>22</v>
      </c>
      <c r="H5" t="s">
        <v>41</v>
      </c>
      <c r="I5" t="s">
        <v>52</v>
      </c>
      <c r="J5" t="s">
        <v>48</v>
      </c>
      <c r="K5">
        <v>0.875</v>
      </c>
      <c r="L5">
        <v>2.5142857142857144E-2</v>
      </c>
    </row>
    <row r="6" spans="1:12" x14ac:dyDescent="0.25">
      <c r="A6" s="21">
        <v>46176</v>
      </c>
      <c r="B6" t="s">
        <v>60</v>
      </c>
      <c r="C6" t="s">
        <v>49</v>
      </c>
      <c r="D6">
        <v>1200</v>
      </c>
      <c r="E6">
        <v>1218</v>
      </c>
      <c r="F6" t="s">
        <v>58</v>
      </c>
      <c r="G6">
        <v>19</v>
      </c>
      <c r="H6" t="s">
        <v>59</v>
      </c>
      <c r="I6" t="s">
        <v>63</v>
      </c>
      <c r="J6" t="s">
        <v>48</v>
      </c>
      <c r="K6">
        <v>1.0149999999999999</v>
      </c>
      <c r="L6">
        <v>1.5599343185550082E-2</v>
      </c>
    </row>
    <row r="7" spans="1:12" x14ac:dyDescent="0.25">
      <c r="A7" s="21">
        <v>46164</v>
      </c>
      <c r="B7" t="s">
        <v>60</v>
      </c>
      <c r="C7" t="s">
        <v>49</v>
      </c>
      <c r="D7">
        <v>1500</v>
      </c>
      <c r="E7">
        <v>1500</v>
      </c>
      <c r="F7" t="s">
        <v>50</v>
      </c>
      <c r="G7">
        <v>38</v>
      </c>
      <c r="H7" t="s">
        <v>51</v>
      </c>
      <c r="I7" t="s">
        <v>63</v>
      </c>
      <c r="J7" t="s">
        <v>48</v>
      </c>
      <c r="K7">
        <v>1</v>
      </c>
      <c r="L7">
        <v>2.5333333333333333E-2</v>
      </c>
    </row>
    <row r="8" spans="1:12" x14ac:dyDescent="0.25">
      <c r="A8" s="21">
        <v>46163</v>
      </c>
      <c r="B8" t="s">
        <v>60</v>
      </c>
      <c r="C8" t="s">
        <v>49</v>
      </c>
      <c r="D8">
        <v>1500</v>
      </c>
      <c r="E8">
        <v>1292</v>
      </c>
      <c r="F8" t="s">
        <v>54</v>
      </c>
      <c r="G8">
        <v>46</v>
      </c>
      <c r="H8" t="s">
        <v>55</v>
      </c>
      <c r="I8" t="s">
        <v>63</v>
      </c>
      <c r="J8" t="s">
        <v>48</v>
      </c>
      <c r="K8">
        <v>0.86133333333333328</v>
      </c>
      <c r="L8">
        <v>3.5603715170278639E-2</v>
      </c>
    </row>
    <row r="9" spans="1:12" x14ac:dyDescent="0.25">
      <c r="A9" s="21">
        <v>46163</v>
      </c>
      <c r="B9" t="s">
        <v>60</v>
      </c>
      <c r="C9" t="s">
        <v>49</v>
      </c>
      <c r="D9">
        <v>1000</v>
      </c>
      <c r="E9">
        <v>1008</v>
      </c>
      <c r="F9" t="s">
        <v>40</v>
      </c>
      <c r="G9">
        <v>9</v>
      </c>
      <c r="H9" t="s">
        <v>41</v>
      </c>
      <c r="I9" t="s">
        <v>47</v>
      </c>
      <c r="J9" t="s">
        <v>56</v>
      </c>
      <c r="K9">
        <v>1.008</v>
      </c>
      <c r="L9">
        <v>8.9285714285714281E-3</v>
      </c>
    </row>
    <row r="10" spans="1:12" x14ac:dyDescent="0.25">
      <c r="A10" s="21">
        <v>46159</v>
      </c>
      <c r="B10" t="s">
        <v>60</v>
      </c>
      <c r="C10" t="s">
        <v>49</v>
      </c>
      <c r="D10">
        <v>1200</v>
      </c>
      <c r="E10">
        <v>1019</v>
      </c>
      <c r="F10" t="s">
        <v>40</v>
      </c>
      <c r="G10">
        <v>54</v>
      </c>
      <c r="H10" t="s">
        <v>41</v>
      </c>
      <c r="I10" t="s">
        <v>47</v>
      </c>
      <c r="J10" t="s">
        <v>48</v>
      </c>
      <c r="K10">
        <v>0.84916666666666663</v>
      </c>
      <c r="L10">
        <v>5.2993130520117761E-2</v>
      </c>
    </row>
    <row r="11" spans="1:12" x14ac:dyDescent="0.25">
      <c r="A11" s="21">
        <v>46159</v>
      </c>
      <c r="B11" t="s">
        <v>60</v>
      </c>
      <c r="C11" t="s">
        <v>49</v>
      </c>
      <c r="D11">
        <v>1500</v>
      </c>
      <c r="E11">
        <v>1507</v>
      </c>
      <c r="F11" t="s">
        <v>61</v>
      </c>
      <c r="G11">
        <v>33</v>
      </c>
      <c r="H11" t="s">
        <v>62</v>
      </c>
      <c r="I11" t="s">
        <v>52</v>
      </c>
      <c r="J11" t="s">
        <v>43</v>
      </c>
      <c r="K11">
        <v>1.0046666666666666</v>
      </c>
      <c r="L11">
        <v>2.1897810218978103E-2</v>
      </c>
    </row>
    <row r="12" spans="1:12" x14ac:dyDescent="0.25">
      <c r="A12" s="21">
        <v>46028</v>
      </c>
      <c r="B12" t="s">
        <v>60</v>
      </c>
      <c r="C12" t="s">
        <v>49</v>
      </c>
      <c r="D12">
        <v>1500</v>
      </c>
      <c r="E12">
        <v>1475</v>
      </c>
      <c r="F12" t="s">
        <v>40</v>
      </c>
      <c r="G12">
        <v>42</v>
      </c>
      <c r="H12" t="s">
        <v>41</v>
      </c>
      <c r="I12" t="s">
        <v>47</v>
      </c>
      <c r="J12" t="s">
        <v>43</v>
      </c>
      <c r="K12">
        <v>0.98333333333333328</v>
      </c>
      <c r="L12">
        <v>2.8474576271186439E-2</v>
      </c>
    </row>
    <row r="13" spans="1:12" x14ac:dyDescent="0.25">
      <c r="A13" s="21">
        <v>46146</v>
      </c>
      <c r="B13" t="s">
        <v>60</v>
      </c>
      <c r="C13" t="s">
        <v>49</v>
      </c>
      <c r="D13">
        <v>1500</v>
      </c>
      <c r="E13">
        <v>1513</v>
      </c>
      <c r="F13" t="s">
        <v>40</v>
      </c>
      <c r="G13">
        <v>17</v>
      </c>
      <c r="H13" t="s">
        <v>41</v>
      </c>
      <c r="I13" t="s">
        <v>63</v>
      </c>
      <c r="J13" t="s">
        <v>48</v>
      </c>
      <c r="K13">
        <v>1.0086666666666666</v>
      </c>
      <c r="L13">
        <v>1.1235955056179775E-2</v>
      </c>
    </row>
    <row r="14" spans="1:12" x14ac:dyDescent="0.25">
      <c r="A14" s="21">
        <v>46139</v>
      </c>
      <c r="B14" t="s">
        <v>60</v>
      </c>
      <c r="C14" t="s">
        <v>49</v>
      </c>
      <c r="D14">
        <v>1000</v>
      </c>
      <c r="E14">
        <v>1010</v>
      </c>
      <c r="F14" t="s">
        <v>40</v>
      </c>
      <c r="G14">
        <v>35</v>
      </c>
      <c r="H14" t="s">
        <v>41</v>
      </c>
      <c r="I14" t="s">
        <v>47</v>
      </c>
      <c r="J14" t="s">
        <v>56</v>
      </c>
      <c r="K14">
        <v>1.01</v>
      </c>
      <c r="L14">
        <v>3.4653465346534656E-2</v>
      </c>
    </row>
    <row r="15" spans="1:12" x14ac:dyDescent="0.25">
      <c r="A15" s="21">
        <v>46128</v>
      </c>
      <c r="B15" t="s">
        <v>60</v>
      </c>
      <c r="C15" t="s">
        <v>49</v>
      </c>
      <c r="D15">
        <v>1000</v>
      </c>
      <c r="E15">
        <v>899</v>
      </c>
      <c r="F15" t="s">
        <v>40</v>
      </c>
      <c r="G15">
        <v>39</v>
      </c>
      <c r="H15" t="s">
        <v>41</v>
      </c>
      <c r="I15" t="s">
        <v>42</v>
      </c>
      <c r="J15" t="s">
        <v>48</v>
      </c>
      <c r="K15">
        <v>0.89900000000000002</v>
      </c>
      <c r="L15">
        <v>4.3381535038932148E-2</v>
      </c>
    </row>
    <row r="16" spans="1:12" x14ac:dyDescent="0.25">
      <c r="A16" s="21">
        <v>46124</v>
      </c>
      <c r="B16" t="s">
        <v>60</v>
      </c>
      <c r="C16" t="s">
        <v>49</v>
      </c>
      <c r="D16">
        <v>1000</v>
      </c>
      <c r="E16">
        <v>838</v>
      </c>
      <c r="F16" t="s">
        <v>45</v>
      </c>
      <c r="G16">
        <v>27</v>
      </c>
      <c r="H16" t="s">
        <v>46</v>
      </c>
      <c r="I16" t="s">
        <v>63</v>
      </c>
      <c r="J16" t="s">
        <v>48</v>
      </c>
      <c r="K16">
        <v>0.83799999999999997</v>
      </c>
      <c r="L16">
        <v>3.2219570405727926E-2</v>
      </c>
    </row>
    <row r="17" spans="1:12" x14ac:dyDescent="0.25">
      <c r="A17" s="21">
        <v>46117</v>
      </c>
      <c r="B17" t="s">
        <v>60</v>
      </c>
      <c r="C17" t="s">
        <v>49</v>
      </c>
      <c r="D17">
        <v>1000</v>
      </c>
      <c r="E17">
        <v>971</v>
      </c>
      <c r="F17" t="s">
        <v>45</v>
      </c>
      <c r="G17">
        <v>12</v>
      </c>
      <c r="H17" t="s">
        <v>46</v>
      </c>
      <c r="I17" t="s">
        <v>47</v>
      </c>
      <c r="J17" t="s">
        <v>48</v>
      </c>
      <c r="K17">
        <v>0.97099999999999997</v>
      </c>
      <c r="L17">
        <v>1.2358393408856848E-2</v>
      </c>
    </row>
    <row r="18" spans="1:12" x14ac:dyDescent="0.25">
      <c r="A18" s="21">
        <v>46107</v>
      </c>
      <c r="B18" t="s">
        <v>60</v>
      </c>
      <c r="C18" t="s">
        <v>49</v>
      </c>
      <c r="D18">
        <v>1200</v>
      </c>
      <c r="E18">
        <v>1086</v>
      </c>
      <c r="F18" t="s">
        <v>61</v>
      </c>
      <c r="G18">
        <v>15</v>
      </c>
      <c r="H18" t="s">
        <v>62</v>
      </c>
      <c r="I18" t="s">
        <v>47</v>
      </c>
      <c r="J18" t="s">
        <v>48</v>
      </c>
      <c r="K18">
        <v>0.90500000000000003</v>
      </c>
      <c r="L18">
        <v>1.3812154696132596E-2</v>
      </c>
    </row>
    <row r="19" spans="1:12" x14ac:dyDescent="0.25">
      <c r="A19" s="21">
        <v>46106</v>
      </c>
      <c r="B19" t="s">
        <v>60</v>
      </c>
      <c r="C19" t="s">
        <v>49</v>
      </c>
      <c r="D19">
        <v>1200</v>
      </c>
      <c r="E19">
        <v>1140</v>
      </c>
      <c r="F19" t="s">
        <v>40</v>
      </c>
      <c r="G19">
        <v>32</v>
      </c>
      <c r="H19" t="s">
        <v>41</v>
      </c>
      <c r="I19" t="s">
        <v>63</v>
      </c>
      <c r="J19" t="s">
        <v>43</v>
      </c>
      <c r="K19">
        <v>0.95</v>
      </c>
      <c r="L19">
        <v>2.8070175438596492E-2</v>
      </c>
    </row>
    <row r="20" spans="1:12" x14ac:dyDescent="0.25">
      <c r="A20" s="21">
        <v>46104</v>
      </c>
      <c r="B20" t="s">
        <v>60</v>
      </c>
      <c r="C20" t="s">
        <v>49</v>
      </c>
      <c r="D20">
        <v>1500</v>
      </c>
      <c r="E20">
        <v>1257</v>
      </c>
      <c r="F20" t="s">
        <v>61</v>
      </c>
      <c r="G20">
        <v>54</v>
      </c>
      <c r="H20" t="s">
        <v>62</v>
      </c>
      <c r="I20" t="s">
        <v>42</v>
      </c>
      <c r="J20" t="s">
        <v>43</v>
      </c>
      <c r="K20">
        <v>0.83799999999999997</v>
      </c>
      <c r="L20">
        <v>4.2959427207637228E-2</v>
      </c>
    </row>
    <row r="21" spans="1:12" x14ac:dyDescent="0.25">
      <c r="A21" s="21">
        <v>46097</v>
      </c>
      <c r="B21" t="s">
        <v>60</v>
      </c>
      <c r="C21" t="s">
        <v>49</v>
      </c>
      <c r="D21">
        <v>1000</v>
      </c>
      <c r="E21">
        <v>972</v>
      </c>
      <c r="F21" t="s">
        <v>50</v>
      </c>
      <c r="G21">
        <v>42</v>
      </c>
      <c r="H21" t="s">
        <v>51</v>
      </c>
      <c r="I21" t="s">
        <v>47</v>
      </c>
      <c r="J21" t="s">
        <v>48</v>
      </c>
      <c r="K21">
        <v>0.97199999999999998</v>
      </c>
      <c r="L21">
        <v>4.3209876543209874E-2</v>
      </c>
    </row>
    <row r="22" spans="1:12" x14ac:dyDescent="0.25">
      <c r="A22" s="21">
        <v>46076</v>
      </c>
      <c r="B22" t="s">
        <v>60</v>
      </c>
      <c r="C22" t="s">
        <v>49</v>
      </c>
      <c r="D22">
        <v>1200</v>
      </c>
      <c r="E22">
        <v>1007</v>
      </c>
      <c r="F22" t="s">
        <v>50</v>
      </c>
      <c r="G22">
        <v>33</v>
      </c>
      <c r="H22" t="s">
        <v>51</v>
      </c>
      <c r="I22" t="s">
        <v>47</v>
      </c>
      <c r="J22" t="s">
        <v>48</v>
      </c>
      <c r="K22">
        <v>0.83916666666666662</v>
      </c>
      <c r="L22">
        <v>3.2770605759682221E-2</v>
      </c>
    </row>
    <row r="23" spans="1:12" x14ac:dyDescent="0.25">
      <c r="A23" s="21">
        <v>46073</v>
      </c>
      <c r="B23" t="s">
        <v>60</v>
      </c>
      <c r="C23" t="s">
        <v>49</v>
      </c>
      <c r="D23">
        <v>1500</v>
      </c>
      <c r="E23">
        <v>1468</v>
      </c>
      <c r="F23" t="s">
        <v>40</v>
      </c>
      <c r="G23">
        <v>32</v>
      </c>
      <c r="H23" t="s">
        <v>41</v>
      </c>
      <c r="I23" t="s">
        <v>47</v>
      </c>
      <c r="J23" t="s">
        <v>48</v>
      </c>
      <c r="K23">
        <v>0.97866666666666668</v>
      </c>
      <c r="L23">
        <v>2.1798365122615803E-2</v>
      </c>
    </row>
    <row r="24" spans="1:12" x14ac:dyDescent="0.25">
      <c r="A24" s="21">
        <v>46072</v>
      </c>
      <c r="B24" t="s">
        <v>60</v>
      </c>
      <c r="C24" t="s">
        <v>49</v>
      </c>
      <c r="D24">
        <v>1000</v>
      </c>
      <c r="E24">
        <v>909</v>
      </c>
      <c r="F24" t="s">
        <v>50</v>
      </c>
      <c r="G24">
        <v>16</v>
      </c>
      <c r="H24" t="s">
        <v>51</v>
      </c>
      <c r="I24" t="s">
        <v>47</v>
      </c>
      <c r="J24" t="s">
        <v>48</v>
      </c>
      <c r="K24">
        <v>0.90900000000000003</v>
      </c>
      <c r="L24">
        <v>1.7601760176017601E-2</v>
      </c>
    </row>
    <row r="25" spans="1:12" x14ac:dyDescent="0.25">
      <c r="A25" s="21">
        <v>46056</v>
      </c>
      <c r="B25" t="s">
        <v>60</v>
      </c>
      <c r="C25" t="s">
        <v>49</v>
      </c>
      <c r="D25">
        <v>1500</v>
      </c>
      <c r="E25">
        <v>1285</v>
      </c>
      <c r="F25" t="s">
        <v>40</v>
      </c>
      <c r="G25">
        <v>46</v>
      </c>
      <c r="H25" t="s">
        <v>41</v>
      </c>
      <c r="I25" t="s">
        <v>47</v>
      </c>
      <c r="J25" t="s">
        <v>48</v>
      </c>
      <c r="K25">
        <v>0.85666666666666669</v>
      </c>
      <c r="L25">
        <v>3.5797665369649803E-2</v>
      </c>
    </row>
    <row r="26" spans="1:12" x14ac:dyDescent="0.25">
      <c r="A26" s="21">
        <v>46055</v>
      </c>
      <c r="B26" t="s">
        <v>60</v>
      </c>
      <c r="C26" t="s">
        <v>49</v>
      </c>
      <c r="D26">
        <v>1000</v>
      </c>
      <c r="E26">
        <v>851</v>
      </c>
      <c r="F26" t="s">
        <v>58</v>
      </c>
      <c r="G26">
        <v>22</v>
      </c>
      <c r="H26" t="s">
        <v>59</v>
      </c>
      <c r="I26" t="s">
        <v>47</v>
      </c>
      <c r="J26" t="s">
        <v>48</v>
      </c>
      <c r="K26">
        <v>0.85099999999999998</v>
      </c>
      <c r="L26">
        <v>2.5851938895417155E-2</v>
      </c>
    </row>
    <row r="27" spans="1:12" x14ac:dyDescent="0.25">
      <c r="A27" s="21">
        <v>46055</v>
      </c>
      <c r="B27" t="s">
        <v>60</v>
      </c>
      <c r="C27" t="s">
        <v>49</v>
      </c>
      <c r="D27">
        <v>1500</v>
      </c>
      <c r="E27">
        <v>1475</v>
      </c>
      <c r="F27" t="s">
        <v>40</v>
      </c>
      <c r="G27">
        <v>27</v>
      </c>
      <c r="H27" t="s">
        <v>41</v>
      </c>
      <c r="I27" t="s">
        <v>63</v>
      </c>
      <c r="J27" t="s">
        <v>48</v>
      </c>
      <c r="K27">
        <v>0.98333333333333328</v>
      </c>
      <c r="L27">
        <v>1.8305084745762711E-2</v>
      </c>
    </row>
    <row r="28" spans="1:12" x14ac:dyDescent="0.25">
      <c r="A28" s="21">
        <v>46054</v>
      </c>
      <c r="B28" t="s">
        <v>60</v>
      </c>
      <c r="C28" t="s">
        <v>49</v>
      </c>
      <c r="D28">
        <v>1200</v>
      </c>
      <c r="E28">
        <v>1039</v>
      </c>
      <c r="F28" t="s">
        <v>58</v>
      </c>
      <c r="G28">
        <v>9</v>
      </c>
      <c r="H28" t="s">
        <v>59</v>
      </c>
      <c r="I28" t="s">
        <v>42</v>
      </c>
      <c r="J28" t="s">
        <v>56</v>
      </c>
      <c r="K28">
        <v>0.86583333333333334</v>
      </c>
      <c r="L28">
        <v>8.6621751684311833E-3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080D-F3CC-4BDE-97E7-82F46CE690B7}">
  <dimension ref="A1:L60"/>
  <sheetViews>
    <sheetView workbookViewId="0">
      <selection activeCell="A3" sqref="A3:L60"/>
    </sheetView>
  </sheetViews>
  <sheetFormatPr defaultRowHeight="15" x14ac:dyDescent="0.25"/>
  <cols>
    <col min="1" max="1" width="10.7109375" bestFit="1" customWidth="1"/>
    <col min="2" max="2" width="17.28515625" bestFit="1" customWidth="1"/>
    <col min="3" max="3" width="9.28515625" bestFit="1" customWidth="1"/>
    <col min="4" max="5" width="22" bestFit="1" customWidth="1"/>
    <col min="6" max="6" width="21.42578125" bestFit="1" customWidth="1"/>
    <col min="7" max="7" width="19" bestFit="1" customWidth="1"/>
    <col min="8" max="8" width="54.140625" bestFit="1" customWidth="1"/>
    <col min="9" max="9" width="25.7109375" bestFit="1" customWidth="1"/>
    <col min="10" max="10" width="19.42578125" bestFit="1" customWidth="1"/>
    <col min="11" max="11" width="20.7109375" bestFit="1" customWidth="1"/>
    <col min="12" max="12" width="17.140625" bestFit="1" customWidth="1"/>
  </cols>
  <sheetData>
    <row r="1" spans="1:12" x14ac:dyDescent="0.25">
      <c r="A1" s="22" t="s">
        <v>81</v>
      </c>
    </row>
    <row r="3" spans="1:12" x14ac:dyDescent="0.25">
      <c r="A3" t="s">
        <v>26</v>
      </c>
      <c r="B3" t="s">
        <v>27</v>
      </c>
      <c r="C3" t="s">
        <v>28</v>
      </c>
      <c r="D3" t="s">
        <v>29</v>
      </c>
      <c r="E3" t="s">
        <v>30</v>
      </c>
      <c r="F3" t="s">
        <v>31</v>
      </c>
      <c r="G3" t="s">
        <v>32</v>
      </c>
      <c r="H3" t="s">
        <v>33</v>
      </c>
      <c r="I3" t="s">
        <v>34</v>
      </c>
      <c r="J3" t="s">
        <v>35</v>
      </c>
      <c r="K3" t="s">
        <v>36</v>
      </c>
      <c r="L3" t="s">
        <v>37</v>
      </c>
    </row>
    <row r="4" spans="1:12" x14ac:dyDescent="0.25">
      <c r="A4" s="21">
        <v>46172</v>
      </c>
      <c r="B4" t="s">
        <v>38</v>
      </c>
      <c r="C4" t="s">
        <v>57</v>
      </c>
      <c r="D4">
        <v>1200</v>
      </c>
      <c r="E4">
        <v>991</v>
      </c>
      <c r="F4" t="s">
        <v>40</v>
      </c>
      <c r="G4">
        <v>50</v>
      </c>
      <c r="H4" t="s">
        <v>41</v>
      </c>
      <c r="I4" t="s">
        <v>52</v>
      </c>
      <c r="J4" t="s">
        <v>48</v>
      </c>
      <c r="K4">
        <v>0.82583333333333331</v>
      </c>
      <c r="L4">
        <v>5.0454086781029264E-2</v>
      </c>
    </row>
    <row r="5" spans="1:12" x14ac:dyDescent="0.25">
      <c r="A5" s="21">
        <v>46157</v>
      </c>
      <c r="B5" t="s">
        <v>38</v>
      </c>
      <c r="C5" t="s">
        <v>57</v>
      </c>
      <c r="D5">
        <v>1000</v>
      </c>
      <c r="E5">
        <v>864</v>
      </c>
      <c r="F5" t="s">
        <v>58</v>
      </c>
      <c r="G5">
        <v>15</v>
      </c>
      <c r="H5" t="s">
        <v>59</v>
      </c>
      <c r="I5" t="s">
        <v>63</v>
      </c>
      <c r="J5" t="s">
        <v>48</v>
      </c>
      <c r="K5">
        <v>0.86399999999999999</v>
      </c>
      <c r="L5">
        <v>1.7361111111111112E-2</v>
      </c>
    </row>
    <row r="6" spans="1:12" x14ac:dyDescent="0.25">
      <c r="A6" s="21">
        <v>46153</v>
      </c>
      <c r="B6" t="s">
        <v>38</v>
      </c>
      <c r="C6" t="s">
        <v>57</v>
      </c>
      <c r="D6">
        <v>1000</v>
      </c>
      <c r="E6">
        <v>1019</v>
      </c>
      <c r="F6" t="s">
        <v>40</v>
      </c>
      <c r="G6">
        <v>6</v>
      </c>
      <c r="H6" t="s">
        <v>41</v>
      </c>
      <c r="I6" t="s">
        <v>63</v>
      </c>
      <c r="J6" t="s">
        <v>48</v>
      </c>
      <c r="K6">
        <v>1.0189999999999999</v>
      </c>
      <c r="L6">
        <v>5.8881256133464181E-3</v>
      </c>
    </row>
    <row r="7" spans="1:12" x14ac:dyDescent="0.25">
      <c r="A7" s="21">
        <v>46141</v>
      </c>
      <c r="B7" t="s">
        <v>38</v>
      </c>
      <c r="C7" t="s">
        <v>57</v>
      </c>
      <c r="D7">
        <v>1200</v>
      </c>
      <c r="E7">
        <v>989</v>
      </c>
      <c r="F7" t="s">
        <v>50</v>
      </c>
      <c r="G7">
        <v>41</v>
      </c>
      <c r="H7" t="s">
        <v>51</v>
      </c>
      <c r="I7" t="s">
        <v>47</v>
      </c>
      <c r="J7" t="s">
        <v>48</v>
      </c>
      <c r="K7">
        <v>0.82416666666666671</v>
      </c>
      <c r="L7">
        <v>4.1456016177957536E-2</v>
      </c>
    </row>
    <row r="8" spans="1:12" x14ac:dyDescent="0.25">
      <c r="A8" s="21">
        <v>46037</v>
      </c>
      <c r="B8" t="s">
        <v>38</v>
      </c>
      <c r="C8" t="s">
        <v>57</v>
      </c>
      <c r="D8">
        <v>1000</v>
      </c>
      <c r="E8">
        <v>865</v>
      </c>
      <c r="F8" t="s">
        <v>61</v>
      </c>
      <c r="G8">
        <v>7</v>
      </c>
      <c r="H8" t="s">
        <v>62</v>
      </c>
      <c r="I8" t="s">
        <v>47</v>
      </c>
      <c r="J8" t="s">
        <v>48</v>
      </c>
      <c r="K8">
        <v>0.86499999999999999</v>
      </c>
      <c r="L8">
        <v>8.0924855491329474E-3</v>
      </c>
    </row>
    <row r="9" spans="1:12" x14ac:dyDescent="0.25">
      <c r="A9" s="21">
        <v>46119</v>
      </c>
      <c r="B9" t="s">
        <v>38</v>
      </c>
      <c r="C9" t="s">
        <v>57</v>
      </c>
      <c r="D9">
        <v>1500</v>
      </c>
      <c r="E9">
        <v>1453</v>
      </c>
      <c r="F9" t="s">
        <v>58</v>
      </c>
      <c r="G9">
        <v>26</v>
      </c>
      <c r="H9" t="s">
        <v>59</v>
      </c>
      <c r="I9" t="s">
        <v>63</v>
      </c>
      <c r="J9" t="s">
        <v>43</v>
      </c>
      <c r="K9">
        <v>0.96866666666666668</v>
      </c>
      <c r="L9">
        <v>1.7894012388162423E-2</v>
      </c>
    </row>
    <row r="10" spans="1:12" x14ac:dyDescent="0.25">
      <c r="A10" s="21">
        <v>46114</v>
      </c>
      <c r="B10" t="s">
        <v>38</v>
      </c>
      <c r="C10" t="s">
        <v>57</v>
      </c>
      <c r="D10">
        <v>1500</v>
      </c>
      <c r="E10">
        <v>1355</v>
      </c>
      <c r="F10" t="s">
        <v>50</v>
      </c>
      <c r="G10">
        <v>10</v>
      </c>
      <c r="H10" t="s">
        <v>51</v>
      </c>
      <c r="I10" t="s">
        <v>47</v>
      </c>
      <c r="J10" t="s">
        <v>48</v>
      </c>
      <c r="K10">
        <v>0.90333333333333332</v>
      </c>
      <c r="L10">
        <v>7.3800738007380072E-3</v>
      </c>
    </row>
    <row r="11" spans="1:12" x14ac:dyDescent="0.25">
      <c r="A11" s="21">
        <v>46110</v>
      </c>
      <c r="B11" t="s">
        <v>38</v>
      </c>
      <c r="C11" t="s">
        <v>57</v>
      </c>
      <c r="D11">
        <v>1000</v>
      </c>
      <c r="E11">
        <v>936</v>
      </c>
      <c r="F11" t="s">
        <v>50</v>
      </c>
      <c r="G11">
        <v>32</v>
      </c>
      <c r="H11" t="s">
        <v>51</v>
      </c>
      <c r="I11" t="s">
        <v>63</v>
      </c>
      <c r="J11" t="s">
        <v>48</v>
      </c>
      <c r="K11">
        <v>0.93600000000000005</v>
      </c>
      <c r="L11">
        <v>3.4188034188034191E-2</v>
      </c>
    </row>
    <row r="12" spans="1:12" x14ac:dyDescent="0.25">
      <c r="A12" s="21">
        <v>46110</v>
      </c>
      <c r="B12" t="s">
        <v>38</v>
      </c>
      <c r="C12" t="s">
        <v>57</v>
      </c>
      <c r="D12">
        <v>1000</v>
      </c>
      <c r="E12">
        <v>934</v>
      </c>
      <c r="F12" t="s">
        <v>58</v>
      </c>
      <c r="G12">
        <v>26</v>
      </c>
      <c r="H12" t="s">
        <v>59</v>
      </c>
      <c r="I12" t="s">
        <v>52</v>
      </c>
      <c r="J12" t="s">
        <v>43</v>
      </c>
      <c r="K12">
        <v>0.93400000000000005</v>
      </c>
      <c r="L12">
        <v>2.7837259100642397E-2</v>
      </c>
    </row>
    <row r="13" spans="1:12" x14ac:dyDescent="0.25">
      <c r="A13" s="21">
        <v>46109</v>
      </c>
      <c r="B13" t="s">
        <v>38</v>
      </c>
      <c r="C13" t="s">
        <v>57</v>
      </c>
      <c r="D13">
        <v>1000</v>
      </c>
      <c r="E13">
        <v>867</v>
      </c>
      <c r="F13" t="s">
        <v>58</v>
      </c>
      <c r="G13">
        <v>39</v>
      </c>
      <c r="H13" t="s">
        <v>59</v>
      </c>
      <c r="I13" t="s">
        <v>52</v>
      </c>
      <c r="J13" t="s">
        <v>48</v>
      </c>
      <c r="K13">
        <v>0.86699999999999999</v>
      </c>
      <c r="L13">
        <v>4.4982698961937718E-2</v>
      </c>
    </row>
    <row r="14" spans="1:12" x14ac:dyDescent="0.25">
      <c r="A14" s="21">
        <v>46088</v>
      </c>
      <c r="B14" t="s">
        <v>38</v>
      </c>
      <c r="C14" t="s">
        <v>57</v>
      </c>
      <c r="D14">
        <v>1200</v>
      </c>
      <c r="E14">
        <v>1208</v>
      </c>
      <c r="F14" t="s">
        <v>50</v>
      </c>
      <c r="G14">
        <v>15</v>
      </c>
      <c r="H14" t="s">
        <v>51</v>
      </c>
      <c r="I14" t="s">
        <v>47</v>
      </c>
      <c r="J14" t="s">
        <v>48</v>
      </c>
      <c r="K14">
        <v>1.0066666666666666</v>
      </c>
      <c r="L14">
        <v>1.2417218543046357E-2</v>
      </c>
    </row>
    <row r="15" spans="1:12" x14ac:dyDescent="0.25">
      <c r="A15" s="21">
        <v>46085</v>
      </c>
      <c r="B15" t="s">
        <v>38</v>
      </c>
      <c r="C15" t="s">
        <v>57</v>
      </c>
      <c r="D15">
        <v>1000</v>
      </c>
      <c r="E15">
        <v>1018</v>
      </c>
      <c r="F15" t="s">
        <v>61</v>
      </c>
      <c r="G15">
        <v>17</v>
      </c>
      <c r="H15" t="s">
        <v>62</v>
      </c>
      <c r="I15" t="s">
        <v>47</v>
      </c>
      <c r="J15" t="s">
        <v>43</v>
      </c>
      <c r="K15">
        <v>1.018</v>
      </c>
      <c r="L15">
        <v>1.6699410609037329E-2</v>
      </c>
    </row>
    <row r="16" spans="1:12" x14ac:dyDescent="0.25">
      <c r="A16" s="21">
        <v>46054</v>
      </c>
      <c r="B16" t="s">
        <v>38</v>
      </c>
      <c r="C16" t="s">
        <v>57</v>
      </c>
      <c r="D16">
        <v>1200</v>
      </c>
      <c r="E16">
        <v>1022</v>
      </c>
      <c r="F16" t="s">
        <v>58</v>
      </c>
      <c r="G16">
        <v>52</v>
      </c>
      <c r="H16" t="s">
        <v>59</v>
      </c>
      <c r="I16" t="s">
        <v>42</v>
      </c>
      <c r="J16" t="s">
        <v>48</v>
      </c>
      <c r="K16">
        <v>0.85166666666666668</v>
      </c>
      <c r="L16">
        <v>5.0880626223091974E-2</v>
      </c>
    </row>
    <row r="17" spans="1:12" x14ac:dyDescent="0.25">
      <c r="A17" s="21">
        <v>46072</v>
      </c>
      <c r="B17" t="s">
        <v>38</v>
      </c>
      <c r="C17" t="s">
        <v>57</v>
      </c>
      <c r="D17">
        <v>1500</v>
      </c>
      <c r="E17">
        <v>1366</v>
      </c>
      <c r="F17" t="s">
        <v>40</v>
      </c>
      <c r="G17">
        <v>27</v>
      </c>
      <c r="H17" t="s">
        <v>41</v>
      </c>
      <c r="I17" t="s">
        <v>52</v>
      </c>
      <c r="J17" t="s">
        <v>48</v>
      </c>
      <c r="K17">
        <v>0.91066666666666662</v>
      </c>
      <c r="L17">
        <v>1.9765739385065886E-2</v>
      </c>
    </row>
    <row r="18" spans="1:12" x14ac:dyDescent="0.25">
      <c r="A18" s="21">
        <v>46062</v>
      </c>
      <c r="B18" t="s">
        <v>38</v>
      </c>
      <c r="C18" t="s">
        <v>57</v>
      </c>
      <c r="D18">
        <v>1200</v>
      </c>
      <c r="E18">
        <v>1113</v>
      </c>
      <c r="F18" t="s">
        <v>50</v>
      </c>
      <c r="G18">
        <v>29</v>
      </c>
      <c r="H18" t="s">
        <v>51</v>
      </c>
      <c r="I18" t="s">
        <v>52</v>
      </c>
      <c r="J18" t="s">
        <v>48</v>
      </c>
      <c r="K18">
        <v>0.92749999999999999</v>
      </c>
      <c r="L18">
        <v>2.605570530098832E-2</v>
      </c>
    </row>
    <row r="19" spans="1:12" x14ac:dyDescent="0.25">
      <c r="A19" s="21">
        <v>46062</v>
      </c>
      <c r="B19" t="s">
        <v>38</v>
      </c>
      <c r="C19" t="s">
        <v>57</v>
      </c>
      <c r="D19">
        <v>1500</v>
      </c>
      <c r="E19">
        <v>1296</v>
      </c>
      <c r="F19" t="s">
        <v>58</v>
      </c>
      <c r="G19">
        <v>52</v>
      </c>
      <c r="H19" t="s">
        <v>59</v>
      </c>
      <c r="I19" t="s">
        <v>52</v>
      </c>
      <c r="J19" t="s">
        <v>43</v>
      </c>
      <c r="K19">
        <v>0.86399999999999999</v>
      </c>
      <c r="L19">
        <v>4.0123456790123455E-2</v>
      </c>
    </row>
    <row r="20" spans="1:12" x14ac:dyDescent="0.25">
      <c r="A20" s="21">
        <v>46023</v>
      </c>
      <c r="B20" t="s">
        <v>38</v>
      </c>
      <c r="C20" t="s">
        <v>39</v>
      </c>
      <c r="D20">
        <v>1000</v>
      </c>
      <c r="E20">
        <v>941</v>
      </c>
      <c r="F20" t="s">
        <v>40</v>
      </c>
      <c r="G20">
        <v>16</v>
      </c>
      <c r="H20" t="s">
        <v>41</v>
      </c>
      <c r="I20" t="s">
        <v>42</v>
      </c>
      <c r="J20" t="s">
        <v>43</v>
      </c>
      <c r="K20">
        <v>0.94099999999999995</v>
      </c>
      <c r="L20">
        <v>1.7003188097768331E-2</v>
      </c>
    </row>
    <row r="21" spans="1:12" x14ac:dyDescent="0.25">
      <c r="A21" s="21">
        <v>46026</v>
      </c>
      <c r="B21" t="s">
        <v>38</v>
      </c>
      <c r="C21" t="s">
        <v>39</v>
      </c>
      <c r="D21">
        <v>1000</v>
      </c>
      <c r="E21">
        <v>967</v>
      </c>
      <c r="F21" t="s">
        <v>40</v>
      </c>
      <c r="G21">
        <v>6</v>
      </c>
      <c r="H21" t="s">
        <v>41</v>
      </c>
      <c r="I21" t="s">
        <v>47</v>
      </c>
      <c r="J21" t="s">
        <v>48</v>
      </c>
      <c r="K21">
        <v>0.96699999999999997</v>
      </c>
      <c r="L21">
        <v>6.2047569803516025E-3</v>
      </c>
    </row>
    <row r="22" spans="1:12" x14ac:dyDescent="0.25">
      <c r="A22" s="21">
        <v>46182</v>
      </c>
      <c r="B22" t="s">
        <v>38</v>
      </c>
      <c r="C22" t="s">
        <v>39</v>
      </c>
      <c r="D22">
        <v>1200</v>
      </c>
      <c r="E22">
        <v>1134</v>
      </c>
      <c r="F22" t="s">
        <v>61</v>
      </c>
      <c r="G22">
        <v>11</v>
      </c>
      <c r="H22" t="s">
        <v>62</v>
      </c>
      <c r="I22" t="s">
        <v>47</v>
      </c>
      <c r="J22" t="s">
        <v>43</v>
      </c>
      <c r="K22">
        <v>0.94499999999999995</v>
      </c>
      <c r="L22">
        <v>9.700176366843033E-3</v>
      </c>
    </row>
    <row r="23" spans="1:12" x14ac:dyDescent="0.25">
      <c r="A23" s="21">
        <v>46177</v>
      </c>
      <c r="B23" t="s">
        <v>38</v>
      </c>
      <c r="C23" t="s">
        <v>39</v>
      </c>
      <c r="D23">
        <v>1000</v>
      </c>
      <c r="E23">
        <v>958</v>
      </c>
      <c r="F23" t="s">
        <v>40</v>
      </c>
      <c r="G23">
        <v>28</v>
      </c>
      <c r="H23" t="s">
        <v>41</v>
      </c>
      <c r="I23" t="s">
        <v>47</v>
      </c>
      <c r="J23" t="s">
        <v>48</v>
      </c>
      <c r="K23">
        <v>0.95799999999999996</v>
      </c>
      <c r="L23">
        <v>2.9227557411273485E-2</v>
      </c>
    </row>
    <row r="24" spans="1:12" x14ac:dyDescent="0.25">
      <c r="A24" s="21">
        <v>46027</v>
      </c>
      <c r="B24" t="s">
        <v>38</v>
      </c>
      <c r="C24" t="s">
        <v>39</v>
      </c>
      <c r="D24">
        <v>1200</v>
      </c>
      <c r="E24">
        <v>1071</v>
      </c>
      <c r="F24" t="s">
        <v>54</v>
      </c>
      <c r="G24">
        <v>50</v>
      </c>
      <c r="H24" t="s">
        <v>55</v>
      </c>
      <c r="I24" t="s">
        <v>52</v>
      </c>
      <c r="J24" t="s">
        <v>56</v>
      </c>
      <c r="K24">
        <v>0.89249999999999996</v>
      </c>
      <c r="L24">
        <v>4.6685340802987862E-2</v>
      </c>
    </row>
    <row r="25" spans="1:12" x14ac:dyDescent="0.25">
      <c r="A25" s="21">
        <v>46172</v>
      </c>
      <c r="B25" t="s">
        <v>38</v>
      </c>
      <c r="C25" t="s">
        <v>39</v>
      </c>
      <c r="D25">
        <v>1200</v>
      </c>
      <c r="E25">
        <v>1043</v>
      </c>
      <c r="F25" t="s">
        <v>58</v>
      </c>
      <c r="G25">
        <v>19</v>
      </c>
      <c r="H25" t="s">
        <v>59</v>
      </c>
      <c r="I25" t="s">
        <v>63</v>
      </c>
      <c r="J25" t="s">
        <v>48</v>
      </c>
      <c r="K25">
        <v>0.86916666666666664</v>
      </c>
      <c r="L25">
        <v>1.8216682646212849E-2</v>
      </c>
    </row>
    <row r="26" spans="1:12" x14ac:dyDescent="0.25">
      <c r="A26" s="21">
        <v>46171</v>
      </c>
      <c r="B26" t="s">
        <v>38</v>
      </c>
      <c r="C26" t="s">
        <v>39</v>
      </c>
      <c r="D26">
        <v>1200</v>
      </c>
      <c r="E26">
        <v>1008</v>
      </c>
      <c r="F26" t="s">
        <v>50</v>
      </c>
      <c r="G26">
        <v>48</v>
      </c>
      <c r="H26" t="s">
        <v>51</v>
      </c>
      <c r="I26" t="s">
        <v>52</v>
      </c>
      <c r="J26" t="s">
        <v>48</v>
      </c>
      <c r="K26">
        <v>0.84</v>
      </c>
      <c r="L26">
        <v>4.7619047619047616E-2</v>
      </c>
    </row>
    <row r="27" spans="1:12" x14ac:dyDescent="0.25">
      <c r="A27" s="21">
        <v>46160</v>
      </c>
      <c r="B27" t="s">
        <v>38</v>
      </c>
      <c r="C27" t="s">
        <v>39</v>
      </c>
      <c r="D27">
        <v>1000</v>
      </c>
      <c r="E27">
        <v>938</v>
      </c>
      <c r="F27" t="s">
        <v>40</v>
      </c>
      <c r="G27">
        <v>6</v>
      </c>
      <c r="H27" t="s">
        <v>41</v>
      </c>
      <c r="I27" t="s">
        <v>52</v>
      </c>
      <c r="J27" t="s">
        <v>48</v>
      </c>
      <c r="K27">
        <v>0.93799999999999994</v>
      </c>
      <c r="L27">
        <v>6.3965884861407248E-3</v>
      </c>
    </row>
    <row r="28" spans="1:12" x14ac:dyDescent="0.25">
      <c r="A28" s="21">
        <v>46158</v>
      </c>
      <c r="B28" t="s">
        <v>38</v>
      </c>
      <c r="C28" t="s">
        <v>39</v>
      </c>
      <c r="D28">
        <v>1000</v>
      </c>
      <c r="E28">
        <v>866</v>
      </c>
      <c r="F28" t="s">
        <v>58</v>
      </c>
      <c r="G28">
        <v>20</v>
      </c>
      <c r="H28" t="s">
        <v>59</v>
      </c>
      <c r="I28" t="s">
        <v>52</v>
      </c>
      <c r="J28" t="s">
        <v>48</v>
      </c>
      <c r="K28">
        <v>0.86599999999999999</v>
      </c>
      <c r="L28">
        <v>2.3094688221709007E-2</v>
      </c>
    </row>
    <row r="29" spans="1:12" x14ac:dyDescent="0.25">
      <c r="A29" s="21">
        <v>46030</v>
      </c>
      <c r="B29" t="s">
        <v>38</v>
      </c>
      <c r="C29" t="s">
        <v>39</v>
      </c>
      <c r="D29">
        <v>1000</v>
      </c>
      <c r="E29">
        <v>1012</v>
      </c>
      <c r="F29" t="s">
        <v>40</v>
      </c>
      <c r="G29">
        <v>5</v>
      </c>
      <c r="H29" t="s">
        <v>41</v>
      </c>
      <c r="I29" t="s">
        <v>47</v>
      </c>
      <c r="J29" t="s">
        <v>56</v>
      </c>
      <c r="K29">
        <v>1.012</v>
      </c>
      <c r="L29">
        <v>4.940711462450593E-3</v>
      </c>
    </row>
    <row r="30" spans="1:12" x14ac:dyDescent="0.25">
      <c r="A30" s="21">
        <v>46030</v>
      </c>
      <c r="B30" t="s">
        <v>38</v>
      </c>
      <c r="C30" t="s">
        <v>39</v>
      </c>
      <c r="D30">
        <v>1200</v>
      </c>
      <c r="E30">
        <v>989</v>
      </c>
      <c r="F30" t="s">
        <v>54</v>
      </c>
      <c r="G30">
        <v>14</v>
      </c>
      <c r="H30" t="s">
        <v>55</v>
      </c>
      <c r="I30" t="s">
        <v>52</v>
      </c>
      <c r="J30" t="s">
        <v>48</v>
      </c>
      <c r="K30">
        <v>0.82416666666666671</v>
      </c>
      <c r="L30">
        <v>1.4155712841253791E-2</v>
      </c>
    </row>
    <row r="31" spans="1:12" x14ac:dyDescent="0.25">
      <c r="A31" s="21">
        <v>46152</v>
      </c>
      <c r="B31" t="s">
        <v>38</v>
      </c>
      <c r="C31" t="s">
        <v>39</v>
      </c>
      <c r="D31">
        <v>1000</v>
      </c>
      <c r="E31">
        <v>847</v>
      </c>
      <c r="F31" t="s">
        <v>58</v>
      </c>
      <c r="G31">
        <v>16</v>
      </c>
      <c r="H31" t="s">
        <v>59</v>
      </c>
      <c r="I31" t="s">
        <v>47</v>
      </c>
      <c r="J31" t="s">
        <v>48</v>
      </c>
      <c r="K31">
        <v>0.84699999999999998</v>
      </c>
      <c r="L31">
        <v>1.8890200708382526E-2</v>
      </c>
    </row>
    <row r="32" spans="1:12" x14ac:dyDescent="0.25">
      <c r="A32" s="21">
        <v>46033</v>
      </c>
      <c r="B32" t="s">
        <v>38</v>
      </c>
      <c r="C32" t="s">
        <v>39</v>
      </c>
      <c r="D32">
        <v>1500</v>
      </c>
      <c r="E32">
        <v>1347</v>
      </c>
      <c r="F32" t="s">
        <v>54</v>
      </c>
      <c r="G32">
        <v>22</v>
      </c>
      <c r="H32" t="s">
        <v>55</v>
      </c>
      <c r="I32" t="s">
        <v>42</v>
      </c>
      <c r="J32" t="s">
        <v>48</v>
      </c>
      <c r="K32">
        <v>0.89800000000000002</v>
      </c>
      <c r="L32">
        <v>1.6332590942835932E-2</v>
      </c>
    </row>
    <row r="33" spans="1:12" x14ac:dyDescent="0.25">
      <c r="A33" s="21">
        <v>46131</v>
      </c>
      <c r="B33" t="s">
        <v>38</v>
      </c>
      <c r="C33" t="s">
        <v>39</v>
      </c>
      <c r="D33">
        <v>1000</v>
      </c>
      <c r="E33">
        <v>1009</v>
      </c>
      <c r="F33" t="s">
        <v>45</v>
      </c>
      <c r="G33">
        <v>8</v>
      </c>
      <c r="H33" t="s">
        <v>46</v>
      </c>
      <c r="I33" t="s">
        <v>52</v>
      </c>
      <c r="J33" t="s">
        <v>48</v>
      </c>
      <c r="K33">
        <v>1.0089999999999999</v>
      </c>
      <c r="L33">
        <v>7.9286422200198214E-3</v>
      </c>
    </row>
    <row r="34" spans="1:12" x14ac:dyDescent="0.25">
      <c r="A34" s="21">
        <v>46131</v>
      </c>
      <c r="B34" t="s">
        <v>38</v>
      </c>
      <c r="C34" t="s">
        <v>39</v>
      </c>
      <c r="D34">
        <v>1200</v>
      </c>
      <c r="E34">
        <v>997</v>
      </c>
      <c r="F34" t="s">
        <v>40</v>
      </c>
      <c r="G34">
        <v>11</v>
      </c>
      <c r="H34" t="s">
        <v>41</v>
      </c>
      <c r="I34" t="s">
        <v>47</v>
      </c>
      <c r="J34" t="s">
        <v>43</v>
      </c>
      <c r="K34">
        <v>0.83083333333333331</v>
      </c>
      <c r="L34">
        <v>1.1033099297893681E-2</v>
      </c>
    </row>
    <row r="35" spans="1:12" x14ac:dyDescent="0.25">
      <c r="A35" s="21">
        <v>46111</v>
      </c>
      <c r="B35" t="s">
        <v>38</v>
      </c>
      <c r="C35" t="s">
        <v>39</v>
      </c>
      <c r="D35">
        <v>1000</v>
      </c>
      <c r="E35">
        <v>956</v>
      </c>
      <c r="F35" t="s">
        <v>40</v>
      </c>
      <c r="G35">
        <v>44</v>
      </c>
      <c r="H35" t="s">
        <v>41</v>
      </c>
      <c r="I35" t="s">
        <v>63</v>
      </c>
      <c r="J35" t="s">
        <v>43</v>
      </c>
      <c r="K35">
        <v>0.95599999999999996</v>
      </c>
      <c r="L35">
        <v>4.6025104602510462E-2</v>
      </c>
    </row>
    <row r="36" spans="1:12" x14ac:dyDescent="0.25">
      <c r="A36" s="21">
        <v>46042</v>
      </c>
      <c r="B36" t="s">
        <v>38</v>
      </c>
      <c r="C36" t="s">
        <v>39</v>
      </c>
      <c r="D36">
        <v>1200</v>
      </c>
      <c r="E36">
        <v>1197</v>
      </c>
      <c r="F36" t="s">
        <v>40</v>
      </c>
      <c r="G36">
        <v>32</v>
      </c>
      <c r="H36" t="s">
        <v>41</v>
      </c>
      <c r="I36" t="s">
        <v>63</v>
      </c>
      <c r="J36" t="s">
        <v>48</v>
      </c>
      <c r="K36">
        <v>0.99750000000000005</v>
      </c>
      <c r="L36">
        <v>2.6733500417710943E-2</v>
      </c>
    </row>
    <row r="37" spans="1:12" x14ac:dyDescent="0.25">
      <c r="A37" s="21">
        <v>46043</v>
      </c>
      <c r="B37" t="s">
        <v>38</v>
      </c>
      <c r="C37" t="s">
        <v>39</v>
      </c>
      <c r="D37">
        <v>1200</v>
      </c>
      <c r="E37">
        <v>985</v>
      </c>
      <c r="F37" t="s">
        <v>58</v>
      </c>
      <c r="G37">
        <v>40</v>
      </c>
      <c r="H37" t="s">
        <v>59</v>
      </c>
      <c r="I37" t="s">
        <v>47</v>
      </c>
      <c r="J37" t="s">
        <v>48</v>
      </c>
      <c r="K37">
        <v>0.8208333333333333</v>
      </c>
      <c r="L37">
        <v>4.060913705583756E-2</v>
      </c>
    </row>
    <row r="38" spans="1:12" x14ac:dyDescent="0.25">
      <c r="A38" s="21">
        <v>46100</v>
      </c>
      <c r="B38" t="s">
        <v>38</v>
      </c>
      <c r="C38" t="s">
        <v>39</v>
      </c>
      <c r="D38">
        <v>1000</v>
      </c>
      <c r="E38">
        <v>1010</v>
      </c>
      <c r="F38" t="s">
        <v>50</v>
      </c>
      <c r="G38">
        <v>5</v>
      </c>
      <c r="H38" t="s">
        <v>51</v>
      </c>
      <c r="I38" t="s">
        <v>42</v>
      </c>
      <c r="J38" t="s">
        <v>43</v>
      </c>
      <c r="K38">
        <v>1.01</v>
      </c>
      <c r="L38">
        <v>4.9504950495049506E-3</v>
      </c>
    </row>
    <row r="39" spans="1:12" x14ac:dyDescent="0.25">
      <c r="A39" s="21">
        <v>46075</v>
      </c>
      <c r="B39" t="s">
        <v>38</v>
      </c>
      <c r="C39" t="s">
        <v>39</v>
      </c>
      <c r="D39">
        <v>1000</v>
      </c>
      <c r="E39">
        <v>820</v>
      </c>
      <c r="F39" t="s">
        <v>40</v>
      </c>
      <c r="G39">
        <v>37</v>
      </c>
      <c r="H39" t="s">
        <v>41</v>
      </c>
      <c r="I39" t="s">
        <v>63</v>
      </c>
      <c r="J39" t="s">
        <v>56</v>
      </c>
      <c r="K39">
        <v>0.82</v>
      </c>
      <c r="L39">
        <v>4.5121951219512194E-2</v>
      </c>
    </row>
    <row r="40" spans="1:12" x14ac:dyDescent="0.25">
      <c r="A40" s="21">
        <v>46074</v>
      </c>
      <c r="B40" t="s">
        <v>38</v>
      </c>
      <c r="C40" t="s">
        <v>39</v>
      </c>
      <c r="D40">
        <v>1000</v>
      </c>
      <c r="E40">
        <v>869</v>
      </c>
      <c r="F40" t="s">
        <v>40</v>
      </c>
      <c r="G40">
        <v>42</v>
      </c>
      <c r="H40" t="s">
        <v>41</v>
      </c>
      <c r="I40" t="s">
        <v>52</v>
      </c>
      <c r="J40" t="s">
        <v>56</v>
      </c>
      <c r="K40">
        <v>0.86899999999999999</v>
      </c>
      <c r="L40">
        <v>4.8331415420023012E-2</v>
      </c>
    </row>
    <row r="41" spans="1:12" x14ac:dyDescent="0.25">
      <c r="A41" s="21">
        <v>46073</v>
      </c>
      <c r="B41" t="s">
        <v>38</v>
      </c>
      <c r="C41" t="s">
        <v>39</v>
      </c>
      <c r="D41">
        <v>1000</v>
      </c>
      <c r="E41">
        <v>1005</v>
      </c>
      <c r="F41" t="s">
        <v>40</v>
      </c>
      <c r="G41">
        <v>41</v>
      </c>
      <c r="H41" t="s">
        <v>41</v>
      </c>
      <c r="I41" t="s">
        <v>42</v>
      </c>
      <c r="J41" t="s">
        <v>48</v>
      </c>
      <c r="K41">
        <v>1.0049999999999999</v>
      </c>
      <c r="L41">
        <v>4.0796019900497513E-2</v>
      </c>
    </row>
    <row r="42" spans="1:12" x14ac:dyDescent="0.25">
      <c r="A42" s="21">
        <v>46066</v>
      </c>
      <c r="B42" t="s">
        <v>38</v>
      </c>
      <c r="C42" t="s">
        <v>39</v>
      </c>
      <c r="D42">
        <v>1500</v>
      </c>
      <c r="E42">
        <v>1287</v>
      </c>
      <c r="F42" t="s">
        <v>58</v>
      </c>
      <c r="G42">
        <v>7</v>
      </c>
      <c r="H42" t="s">
        <v>59</v>
      </c>
      <c r="I42" t="s">
        <v>63</v>
      </c>
      <c r="J42" t="s">
        <v>48</v>
      </c>
      <c r="K42">
        <v>0.85799999999999998</v>
      </c>
      <c r="L42">
        <v>5.439005439005439E-3</v>
      </c>
    </row>
    <row r="43" spans="1:12" x14ac:dyDescent="0.25">
      <c r="A43" s="21">
        <v>46062</v>
      </c>
      <c r="B43" t="s">
        <v>38</v>
      </c>
      <c r="C43" t="s">
        <v>39</v>
      </c>
      <c r="D43">
        <v>1000</v>
      </c>
      <c r="E43">
        <v>1001</v>
      </c>
      <c r="F43" t="s">
        <v>50</v>
      </c>
      <c r="G43">
        <v>44</v>
      </c>
      <c r="H43" t="s">
        <v>51</v>
      </c>
      <c r="I43" t="s">
        <v>63</v>
      </c>
      <c r="J43" t="s">
        <v>48</v>
      </c>
      <c r="K43">
        <v>1.0009999999999999</v>
      </c>
      <c r="L43">
        <v>4.3956043956043959E-2</v>
      </c>
    </row>
    <row r="44" spans="1:12" x14ac:dyDescent="0.25">
      <c r="A44" s="21">
        <v>46183</v>
      </c>
      <c r="B44" t="s">
        <v>38</v>
      </c>
      <c r="C44" t="s">
        <v>49</v>
      </c>
      <c r="D44">
        <v>1200</v>
      </c>
      <c r="E44">
        <v>1149</v>
      </c>
      <c r="F44" t="s">
        <v>40</v>
      </c>
      <c r="G44">
        <v>28</v>
      </c>
      <c r="H44" t="s">
        <v>41</v>
      </c>
      <c r="I44" t="s">
        <v>47</v>
      </c>
      <c r="J44" t="s">
        <v>48</v>
      </c>
      <c r="K44">
        <v>0.95750000000000002</v>
      </c>
      <c r="L44">
        <v>2.4369016536118365E-2</v>
      </c>
    </row>
    <row r="45" spans="1:12" x14ac:dyDescent="0.25">
      <c r="A45" s="21">
        <v>46029</v>
      </c>
      <c r="B45" t="s">
        <v>38</v>
      </c>
      <c r="C45" t="s">
        <v>49</v>
      </c>
      <c r="D45">
        <v>1200</v>
      </c>
      <c r="E45">
        <v>1085</v>
      </c>
      <c r="F45" t="s">
        <v>61</v>
      </c>
      <c r="G45">
        <v>35</v>
      </c>
      <c r="H45" t="s">
        <v>62</v>
      </c>
      <c r="I45" t="s">
        <v>63</v>
      </c>
      <c r="J45" t="s">
        <v>48</v>
      </c>
      <c r="K45">
        <v>0.90416666666666667</v>
      </c>
      <c r="L45">
        <v>3.2258064516129031E-2</v>
      </c>
    </row>
    <row r="46" spans="1:12" x14ac:dyDescent="0.25">
      <c r="A46" s="21">
        <v>46151</v>
      </c>
      <c r="B46" t="s">
        <v>38</v>
      </c>
      <c r="C46" t="s">
        <v>49</v>
      </c>
      <c r="D46">
        <v>1200</v>
      </c>
      <c r="E46">
        <v>984</v>
      </c>
      <c r="F46" t="s">
        <v>40</v>
      </c>
      <c r="G46">
        <v>9</v>
      </c>
      <c r="H46" t="s">
        <v>41</v>
      </c>
      <c r="I46" t="s">
        <v>47</v>
      </c>
      <c r="J46" t="s">
        <v>48</v>
      </c>
      <c r="K46">
        <v>0.82</v>
      </c>
      <c r="L46">
        <v>9.1463414634146336E-3</v>
      </c>
    </row>
    <row r="47" spans="1:12" x14ac:dyDescent="0.25">
      <c r="A47" s="21">
        <v>46150</v>
      </c>
      <c r="B47" t="s">
        <v>38</v>
      </c>
      <c r="C47" t="s">
        <v>49</v>
      </c>
      <c r="D47">
        <v>1500</v>
      </c>
      <c r="E47">
        <v>1420</v>
      </c>
      <c r="F47" t="s">
        <v>40</v>
      </c>
      <c r="G47">
        <v>34</v>
      </c>
      <c r="H47" t="s">
        <v>41</v>
      </c>
      <c r="I47" t="s">
        <v>63</v>
      </c>
      <c r="J47" t="s">
        <v>56</v>
      </c>
      <c r="K47">
        <v>0.94666666666666666</v>
      </c>
      <c r="L47">
        <v>2.3943661971830985E-2</v>
      </c>
    </row>
    <row r="48" spans="1:12" x14ac:dyDescent="0.25">
      <c r="A48" s="21">
        <v>46141</v>
      </c>
      <c r="B48" t="s">
        <v>38</v>
      </c>
      <c r="C48" t="s">
        <v>49</v>
      </c>
      <c r="D48">
        <v>1500</v>
      </c>
      <c r="E48">
        <v>1278</v>
      </c>
      <c r="F48" t="s">
        <v>58</v>
      </c>
      <c r="G48">
        <v>29</v>
      </c>
      <c r="H48" t="s">
        <v>59</v>
      </c>
      <c r="I48" t="s">
        <v>63</v>
      </c>
      <c r="J48" t="s">
        <v>48</v>
      </c>
      <c r="K48">
        <v>0.85199999999999998</v>
      </c>
      <c r="L48">
        <v>2.2691705790297341E-2</v>
      </c>
    </row>
    <row r="49" spans="1:12" x14ac:dyDescent="0.25">
      <c r="A49" s="21">
        <v>46139</v>
      </c>
      <c r="B49" t="s">
        <v>38</v>
      </c>
      <c r="C49" t="s">
        <v>49</v>
      </c>
      <c r="D49">
        <v>1000</v>
      </c>
      <c r="E49">
        <v>930</v>
      </c>
      <c r="F49" t="s">
        <v>58</v>
      </c>
      <c r="G49">
        <v>27</v>
      </c>
      <c r="H49" t="s">
        <v>59</v>
      </c>
      <c r="I49" t="s">
        <v>52</v>
      </c>
      <c r="J49" t="s">
        <v>43</v>
      </c>
      <c r="K49">
        <v>0.93</v>
      </c>
      <c r="L49">
        <v>2.903225806451613E-2</v>
      </c>
    </row>
    <row r="50" spans="1:12" x14ac:dyDescent="0.25">
      <c r="A50" s="21">
        <v>46136</v>
      </c>
      <c r="B50" t="s">
        <v>38</v>
      </c>
      <c r="C50" t="s">
        <v>49</v>
      </c>
      <c r="D50">
        <v>1000</v>
      </c>
      <c r="E50">
        <v>827</v>
      </c>
      <c r="F50" t="s">
        <v>40</v>
      </c>
      <c r="G50">
        <v>52</v>
      </c>
      <c r="H50" t="s">
        <v>41</v>
      </c>
      <c r="I50" t="s">
        <v>63</v>
      </c>
      <c r="J50" t="s">
        <v>48</v>
      </c>
      <c r="K50">
        <v>0.82699999999999996</v>
      </c>
      <c r="L50">
        <v>6.2877871825876661E-2</v>
      </c>
    </row>
    <row r="51" spans="1:12" x14ac:dyDescent="0.25">
      <c r="A51" s="21">
        <v>46122</v>
      </c>
      <c r="B51" t="s">
        <v>38</v>
      </c>
      <c r="C51" t="s">
        <v>49</v>
      </c>
      <c r="D51">
        <v>1500</v>
      </c>
      <c r="E51">
        <v>1245</v>
      </c>
      <c r="F51" t="s">
        <v>40</v>
      </c>
      <c r="G51">
        <v>18</v>
      </c>
      <c r="H51" t="s">
        <v>41</v>
      </c>
      <c r="I51" t="s">
        <v>42</v>
      </c>
      <c r="J51" t="s">
        <v>48</v>
      </c>
      <c r="K51">
        <v>0.83</v>
      </c>
      <c r="L51">
        <v>1.4457831325301205E-2</v>
      </c>
    </row>
    <row r="52" spans="1:12" x14ac:dyDescent="0.25">
      <c r="A52" s="21">
        <v>46114</v>
      </c>
      <c r="B52" t="s">
        <v>38</v>
      </c>
      <c r="C52" t="s">
        <v>49</v>
      </c>
      <c r="D52">
        <v>1200</v>
      </c>
      <c r="E52">
        <v>1194</v>
      </c>
      <c r="F52" t="s">
        <v>40</v>
      </c>
      <c r="G52">
        <v>10</v>
      </c>
      <c r="H52" t="s">
        <v>41</v>
      </c>
      <c r="I52" t="s">
        <v>52</v>
      </c>
      <c r="J52" t="s">
        <v>48</v>
      </c>
      <c r="K52">
        <v>0.995</v>
      </c>
      <c r="L52">
        <v>8.3752093802345051E-3</v>
      </c>
    </row>
    <row r="53" spans="1:12" x14ac:dyDescent="0.25">
      <c r="A53" s="21">
        <v>46042</v>
      </c>
      <c r="B53" t="s">
        <v>38</v>
      </c>
      <c r="C53" t="s">
        <v>49</v>
      </c>
      <c r="D53">
        <v>1000</v>
      </c>
      <c r="E53">
        <v>942</v>
      </c>
      <c r="F53" t="s">
        <v>40</v>
      </c>
      <c r="G53">
        <v>41</v>
      </c>
      <c r="H53" t="s">
        <v>41</v>
      </c>
      <c r="I53" t="s">
        <v>63</v>
      </c>
      <c r="J53" t="s">
        <v>48</v>
      </c>
      <c r="K53">
        <v>0.94199999999999995</v>
      </c>
      <c r="L53">
        <v>4.3524416135881101E-2</v>
      </c>
    </row>
    <row r="54" spans="1:12" x14ac:dyDescent="0.25">
      <c r="A54" s="21">
        <v>46043</v>
      </c>
      <c r="B54" t="s">
        <v>38</v>
      </c>
      <c r="C54" t="s">
        <v>49</v>
      </c>
      <c r="D54">
        <v>1200</v>
      </c>
      <c r="E54">
        <v>1211</v>
      </c>
      <c r="F54" t="s">
        <v>45</v>
      </c>
      <c r="G54">
        <v>13</v>
      </c>
      <c r="H54" t="s">
        <v>46</v>
      </c>
      <c r="I54" t="s">
        <v>63</v>
      </c>
      <c r="J54" t="s">
        <v>48</v>
      </c>
      <c r="K54">
        <v>1.0091666666666668</v>
      </c>
      <c r="L54">
        <v>1.0734929810074319E-2</v>
      </c>
    </row>
    <row r="55" spans="1:12" x14ac:dyDescent="0.25">
      <c r="A55" s="21">
        <v>46110</v>
      </c>
      <c r="B55" t="s">
        <v>38</v>
      </c>
      <c r="C55" t="s">
        <v>49</v>
      </c>
      <c r="D55">
        <v>1200</v>
      </c>
      <c r="E55">
        <v>1052</v>
      </c>
      <c r="F55" t="s">
        <v>58</v>
      </c>
      <c r="G55">
        <v>46</v>
      </c>
      <c r="H55" t="s">
        <v>59</v>
      </c>
      <c r="I55" t="s">
        <v>63</v>
      </c>
      <c r="J55" t="s">
        <v>48</v>
      </c>
      <c r="K55">
        <v>0.87666666666666671</v>
      </c>
      <c r="L55">
        <v>4.3726235741444866E-2</v>
      </c>
    </row>
    <row r="56" spans="1:12" x14ac:dyDescent="0.25">
      <c r="A56" s="21">
        <v>46044</v>
      </c>
      <c r="B56" t="s">
        <v>38</v>
      </c>
      <c r="C56" t="s">
        <v>49</v>
      </c>
      <c r="D56">
        <v>1500</v>
      </c>
      <c r="E56">
        <v>1304</v>
      </c>
      <c r="F56" t="s">
        <v>40</v>
      </c>
      <c r="G56">
        <v>53</v>
      </c>
      <c r="H56" t="s">
        <v>41</v>
      </c>
      <c r="I56" t="s">
        <v>63</v>
      </c>
      <c r="J56" t="s">
        <v>48</v>
      </c>
      <c r="K56">
        <v>0.86933333333333329</v>
      </c>
      <c r="L56">
        <v>4.0644171779141106E-2</v>
      </c>
    </row>
    <row r="57" spans="1:12" x14ac:dyDescent="0.25">
      <c r="A57" s="21">
        <v>46085</v>
      </c>
      <c r="B57" t="s">
        <v>38</v>
      </c>
      <c r="C57" t="s">
        <v>49</v>
      </c>
      <c r="D57">
        <v>1200</v>
      </c>
      <c r="E57">
        <v>1140</v>
      </c>
      <c r="F57" t="s">
        <v>40</v>
      </c>
      <c r="G57">
        <v>31</v>
      </c>
      <c r="H57" t="s">
        <v>41</v>
      </c>
      <c r="I57" t="s">
        <v>52</v>
      </c>
      <c r="J57" t="s">
        <v>48</v>
      </c>
      <c r="K57">
        <v>0.95</v>
      </c>
      <c r="L57">
        <v>2.7192982456140352E-2</v>
      </c>
    </row>
    <row r="58" spans="1:12" x14ac:dyDescent="0.25">
      <c r="A58" s="21">
        <v>46078</v>
      </c>
      <c r="B58" t="s">
        <v>38</v>
      </c>
      <c r="C58" t="s">
        <v>49</v>
      </c>
      <c r="D58">
        <v>1500</v>
      </c>
      <c r="E58">
        <v>1254</v>
      </c>
      <c r="F58" t="s">
        <v>40</v>
      </c>
      <c r="G58">
        <v>42</v>
      </c>
      <c r="H58" t="s">
        <v>41</v>
      </c>
      <c r="I58" t="s">
        <v>63</v>
      </c>
      <c r="J58" t="s">
        <v>48</v>
      </c>
      <c r="K58">
        <v>0.83599999999999997</v>
      </c>
      <c r="L58">
        <v>3.3492822966507178E-2</v>
      </c>
    </row>
    <row r="59" spans="1:12" x14ac:dyDescent="0.25">
      <c r="A59" s="21">
        <v>46063</v>
      </c>
      <c r="B59" t="s">
        <v>38</v>
      </c>
      <c r="C59" t="s">
        <v>49</v>
      </c>
      <c r="D59">
        <v>1000</v>
      </c>
      <c r="E59">
        <v>834</v>
      </c>
      <c r="F59" t="s">
        <v>45</v>
      </c>
      <c r="G59">
        <v>36</v>
      </c>
      <c r="H59" t="s">
        <v>46</v>
      </c>
      <c r="I59" t="s">
        <v>42</v>
      </c>
      <c r="J59" t="s">
        <v>48</v>
      </c>
      <c r="K59">
        <v>0.83399999999999996</v>
      </c>
      <c r="L59">
        <v>4.3165467625899283E-2</v>
      </c>
    </row>
    <row r="60" spans="1:12" x14ac:dyDescent="0.25">
      <c r="A60" s="21">
        <v>46062</v>
      </c>
      <c r="B60" t="s">
        <v>38</v>
      </c>
      <c r="C60" t="s">
        <v>49</v>
      </c>
      <c r="D60">
        <v>1000</v>
      </c>
      <c r="E60">
        <v>846</v>
      </c>
      <c r="F60" t="s">
        <v>61</v>
      </c>
      <c r="G60">
        <v>44</v>
      </c>
      <c r="H60" t="s">
        <v>62</v>
      </c>
      <c r="I60" t="s">
        <v>47</v>
      </c>
      <c r="J60" t="s">
        <v>48</v>
      </c>
      <c r="K60">
        <v>0.84599999999999997</v>
      </c>
      <c r="L60">
        <v>5.2009456264775412E-2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072CD-8989-43E7-A8CD-C87126F7C47A}">
  <dimension ref="A1:L60"/>
  <sheetViews>
    <sheetView workbookViewId="0">
      <selection activeCell="A3" sqref="A3:L60"/>
    </sheetView>
  </sheetViews>
  <sheetFormatPr defaultRowHeight="15" x14ac:dyDescent="0.25"/>
  <cols>
    <col min="1" max="1" width="10.7109375" bestFit="1" customWidth="1"/>
    <col min="2" max="2" width="17.28515625" bestFit="1" customWidth="1"/>
    <col min="3" max="3" width="9.28515625" bestFit="1" customWidth="1"/>
    <col min="4" max="5" width="22" bestFit="1" customWidth="1"/>
    <col min="6" max="6" width="21.42578125" bestFit="1" customWidth="1"/>
    <col min="7" max="7" width="19" bestFit="1" customWidth="1"/>
    <col min="8" max="8" width="54.140625" bestFit="1" customWidth="1"/>
    <col min="9" max="9" width="25.7109375" bestFit="1" customWidth="1"/>
    <col min="10" max="10" width="19.42578125" bestFit="1" customWidth="1"/>
    <col min="11" max="11" width="20.7109375" bestFit="1" customWidth="1"/>
    <col min="12" max="12" width="17.140625" bestFit="1" customWidth="1"/>
  </cols>
  <sheetData>
    <row r="1" spans="1:12" x14ac:dyDescent="0.25">
      <c r="A1" s="22" t="s">
        <v>81</v>
      </c>
    </row>
    <row r="3" spans="1:12" x14ac:dyDescent="0.25">
      <c r="A3" t="s">
        <v>26</v>
      </c>
      <c r="B3" t="s">
        <v>27</v>
      </c>
      <c r="C3" t="s">
        <v>28</v>
      </c>
      <c r="D3" t="s">
        <v>29</v>
      </c>
      <c r="E3" t="s">
        <v>30</v>
      </c>
      <c r="F3" t="s">
        <v>31</v>
      </c>
      <c r="G3" t="s">
        <v>32</v>
      </c>
      <c r="H3" t="s">
        <v>33</v>
      </c>
      <c r="I3" t="s">
        <v>34</v>
      </c>
      <c r="J3" t="s">
        <v>35</v>
      </c>
      <c r="K3" t="s">
        <v>36</v>
      </c>
      <c r="L3" t="s">
        <v>37</v>
      </c>
    </row>
    <row r="4" spans="1:12" x14ac:dyDescent="0.25">
      <c r="A4" s="21">
        <v>46172</v>
      </c>
      <c r="B4" t="s">
        <v>38</v>
      </c>
      <c r="C4" t="s">
        <v>57</v>
      </c>
      <c r="D4">
        <v>1200</v>
      </c>
      <c r="E4">
        <v>991</v>
      </c>
      <c r="F4" t="s">
        <v>40</v>
      </c>
      <c r="G4">
        <v>50</v>
      </c>
      <c r="H4" t="s">
        <v>41</v>
      </c>
      <c r="I4" t="s">
        <v>52</v>
      </c>
      <c r="J4" t="s">
        <v>48</v>
      </c>
      <c r="K4">
        <v>0.82583333333333331</v>
      </c>
      <c r="L4">
        <v>5.0454086781029264E-2</v>
      </c>
    </row>
    <row r="5" spans="1:12" x14ac:dyDescent="0.25">
      <c r="A5" s="21">
        <v>46157</v>
      </c>
      <c r="B5" t="s">
        <v>38</v>
      </c>
      <c r="C5" t="s">
        <v>57</v>
      </c>
      <c r="D5">
        <v>1000</v>
      </c>
      <c r="E5">
        <v>864</v>
      </c>
      <c r="F5" t="s">
        <v>58</v>
      </c>
      <c r="G5">
        <v>15</v>
      </c>
      <c r="H5" t="s">
        <v>59</v>
      </c>
      <c r="I5" t="s">
        <v>63</v>
      </c>
      <c r="J5" t="s">
        <v>48</v>
      </c>
      <c r="K5">
        <v>0.86399999999999999</v>
      </c>
      <c r="L5">
        <v>1.7361111111111112E-2</v>
      </c>
    </row>
    <row r="6" spans="1:12" x14ac:dyDescent="0.25">
      <c r="A6" s="21">
        <v>46153</v>
      </c>
      <c r="B6" t="s">
        <v>38</v>
      </c>
      <c r="C6" t="s">
        <v>57</v>
      </c>
      <c r="D6">
        <v>1000</v>
      </c>
      <c r="E6">
        <v>1019</v>
      </c>
      <c r="F6" t="s">
        <v>40</v>
      </c>
      <c r="G6">
        <v>6</v>
      </c>
      <c r="H6" t="s">
        <v>41</v>
      </c>
      <c r="I6" t="s">
        <v>63</v>
      </c>
      <c r="J6" t="s">
        <v>48</v>
      </c>
      <c r="K6">
        <v>1.0189999999999999</v>
      </c>
      <c r="L6">
        <v>5.8881256133464181E-3</v>
      </c>
    </row>
    <row r="7" spans="1:12" x14ac:dyDescent="0.25">
      <c r="A7" s="21">
        <v>46141</v>
      </c>
      <c r="B7" t="s">
        <v>38</v>
      </c>
      <c r="C7" t="s">
        <v>57</v>
      </c>
      <c r="D7">
        <v>1200</v>
      </c>
      <c r="E7">
        <v>989</v>
      </c>
      <c r="F7" t="s">
        <v>50</v>
      </c>
      <c r="G7">
        <v>41</v>
      </c>
      <c r="H7" t="s">
        <v>51</v>
      </c>
      <c r="I7" t="s">
        <v>47</v>
      </c>
      <c r="J7" t="s">
        <v>48</v>
      </c>
      <c r="K7">
        <v>0.82416666666666671</v>
      </c>
      <c r="L7">
        <v>4.1456016177957536E-2</v>
      </c>
    </row>
    <row r="8" spans="1:12" x14ac:dyDescent="0.25">
      <c r="A8" s="21">
        <v>46037</v>
      </c>
      <c r="B8" t="s">
        <v>38</v>
      </c>
      <c r="C8" t="s">
        <v>57</v>
      </c>
      <c r="D8">
        <v>1000</v>
      </c>
      <c r="E8">
        <v>865</v>
      </c>
      <c r="F8" t="s">
        <v>61</v>
      </c>
      <c r="G8">
        <v>7</v>
      </c>
      <c r="H8" t="s">
        <v>62</v>
      </c>
      <c r="I8" t="s">
        <v>47</v>
      </c>
      <c r="J8" t="s">
        <v>48</v>
      </c>
      <c r="K8">
        <v>0.86499999999999999</v>
      </c>
      <c r="L8">
        <v>8.0924855491329474E-3</v>
      </c>
    </row>
    <row r="9" spans="1:12" x14ac:dyDescent="0.25">
      <c r="A9" s="21">
        <v>46119</v>
      </c>
      <c r="B9" t="s">
        <v>38</v>
      </c>
      <c r="C9" t="s">
        <v>57</v>
      </c>
      <c r="D9">
        <v>1500</v>
      </c>
      <c r="E9">
        <v>1453</v>
      </c>
      <c r="F9" t="s">
        <v>58</v>
      </c>
      <c r="G9">
        <v>26</v>
      </c>
      <c r="H9" t="s">
        <v>59</v>
      </c>
      <c r="I9" t="s">
        <v>63</v>
      </c>
      <c r="J9" t="s">
        <v>43</v>
      </c>
      <c r="K9">
        <v>0.96866666666666668</v>
      </c>
      <c r="L9">
        <v>1.7894012388162423E-2</v>
      </c>
    </row>
    <row r="10" spans="1:12" x14ac:dyDescent="0.25">
      <c r="A10" s="21">
        <v>46114</v>
      </c>
      <c r="B10" t="s">
        <v>38</v>
      </c>
      <c r="C10" t="s">
        <v>57</v>
      </c>
      <c r="D10">
        <v>1500</v>
      </c>
      <c r="E10">
        <v>1355</v>
      </c>
      <c r="F10" t="s">
        <v>50</v>
      </c>
      <c r="G10">
        <v>10</v>
      </c>
      <c r="H10" t="s">
        <v>51</v>
      </c>
      <c r="I10" t="s">
        <v>47</v>
      </c>
      <c r="J10" t="s">
        <v>48</v>
      </c>
      <c r="K10">
        <v>0.90333333333333332</v>
      </c>
      <c r="L10">
        <v>7.3800738007380072E-3</v>
      </c>
    </row>
    <row r="11" spans="1:12" x14ac:dyDescent="0.25">
      <c r="A11" s="21">
        <v>46110</v>
      </c>
      <c r="B11" t="s">
        <v>38</v>
      </c>
      <c r="C11" t="s">
        <v>57</v>
      </c>
      <c r="D11">
        <v>1000</v>
      </c>
      <c r="E11">
        <v>936</v>
      </c>
      <c r="F11" t="s">
        <v>50</v>
      </c>
      <c r="G11">
        <v>32</v>
      </c>
      <c r="H11" t="s">
        <v>51</v>
      </c>
      <c r="I11" t="s">
        <v>63</v>
      </c>
      <c r="J11" t="s">
        <v>48</v>
      </c>
      <c r="K11">
        <v>0.93600000000000005</v>
      </c>
      <c r="L11">
        <v>3.4188034188034191E-2</v>
      </c>
    </row>
    <row r="12" spans="1:12" x14ac:dyDescent="0.25">
      <c r="A12" s="21">
        <v>46110</v>
      </c>
      <c r="B12" t="s">
        <v>38</v>
      </c>
      <c r="C12" t="s">
        <v>57</v>
      </c>
      <c r="D12">
        <v>1000</v>
      </c>
      <c r="E12">
        <v>934</v>
      </c>
      <c r="F12" t="s">
        <v>58</v>
      </c>
      <c r="G12">
        <v>26</v>
      </c>
      <c r="H12" t="s">
        <v>59</v>
      </c>
      <c r="I12" t="s">
        <v>52</v>
      </c>
      <c r="J12" t="s">
        <v>43</v>
      </c>
      <c r="K12">
        <v>0.93400000000000005</v>
      </c>
      <c r="L12">
        <v>2.7837259100642397E-2</v>
      </c>
    </row>
    <row r="13" spans="1:12" x14ac:dyDescent="0.25">
      <c r="A13" s="21">
        <v>46109</v>
      </c>
      <c r="B13" t="s">
        <v>38</v>
      </c>
      <c r="C13" t="s">
        <v>57</v>
      </c>
      <c r="D13">
        <v>1000</v>
      </c>
      <c r="E13">
        <v>867</v>
      </c>
      <c r="F13" t="s">
        <v>58</v>
      </c>
      <c r="G13">
        <v>39</v>
      </c>
      <c r="H13" t="s">
        <v>59</v>
      </c>
      <c r="I13" t="s">
        <v>52</v>
      </c>
      <c r="J13" t="s">
        <v>48</v>
      </c>
      <c r="K13">
        <v>0.86699999999999999</v>
      </c>
      <c r="L13">
        <v>4.4982698961937718E-2</v>
      </c>
    </row>
    <row r="14" spans="1:12" x14ac:dyDescent="0.25">
      <c r="A14" s="21">
        <v>46088</v>
      </c>
      <c r="B14" t="s">
        <v>38</v>
      </c>
      <c r="C14" t="s">
        <v>57</v>
      </c>
      <c r="D14">
        <v>1200</v>
      </c>
      <c r="E14">
        <v>1208</v>
      </c>
      <c r="F14" t="s">
        <v>50</v>
      </c>
      <c r="G14">
        <v>15</v>
      </c>
      <c r="H14" t="s">
        <v>51</v>
      </c>
      <c r="I14" t="s">
        <v>47</v>
      </c>
      <c r="J14" t="s">
        <v>48</v>
      </c>
      <c r="K14">
        <v>1.0066666666666666</v>
      </c>
      <c r="L14">
        <v>1.2417218543046357E-2</v>
      </c>
    </row>
    <row r="15" spans="1:12" x14ac:dyDescent="0.25">
      <c r="A15" s="21">
        <v>46085</v>
      </c>
      <c r="B15" t="s">
        <v>38</v>
      </c>
      <c r="C15" t="s">
        <v>57</v>
      </c>
      <c r="D15">
        <v>1000</v>
      </c>
      <c r="E15">
        <v>1018</v>
      </c>
      <c r="F15" t="s">
        <v>61</v>
      </c>
      <c r="G15">
        <v>17</v>
      </c>
      <c r="H15" t="s">
        <v>62</v>
      </c>
      <c r="I15" t="s">
        <v>47</v>
      </c>
      <c r="J15" t="s">
        <v>43</v>
      </c>
      <c r="K15">
        <v>1.018</v>
      </c>
      <c r="L15">
        <v>1.6699410609037329E-2</v>
      </c>
    </row>
    <row r="16" spans="1:12" x14ac:dyDescent="0.25">
      <c r="A16" s="21">
        <v>46054</v>
      </c>
      <c r="B16" t="s">
        <v>38</v>
      </c>
      <c r="C16" t="s">
        <v>57</v>
      </c>
      <c r="D16">
        <v>1200</v>
      </c>
      <c r="E16">
        <v>1022</v>
      </c>
      <c r="F16" t="s">
        <v>58</v>
      </c>
      <c r="G16">
        <v>52</v>
      </c>
      <c r="H16" t="s">
        <v>59</v>
      </c>
      <c r="I16" t="s">
        <v>42</v>
      </c>
      <c r="J16" t="s">
        <v>48</v>
      </c>
      <c r="K16">
        <v>0.85166666666666668</v>
      </c>
      <c r="L16">
        <v>5.0880626223091974E-2</v>
      </c>
    </row>
    <row r="17" spans="1:12" x14ac:dyDescent="0.25">
      <c r="A17" s="21">
        <v>46072</v>
      </c>
      <c r="B17" t="s">
        <v>38</v>
      </c>
      <c r="C17" t="s">
        <v>57</v>
      </c>
      <c r="D17">
        <v>1500</v>
      </c>
      <c r="E17">
        <v>1366</v>
      </c>
      <c r="F17" t="s">
        <v>40</v>
      </c>
      <c r="G17">
        <v>27</v>
      </c>
      <c r="H17" t="s">
        <v>41</v>
      </c>
      <c r="I17" t="s">
        <v>52</v>
      </c>
      <c r="J17" t="s">
        <v>48</v>
      </c>
      <c r="K17">
        <v>0.91066666666666662</v>
      </c>
      <c r="L17">
        <v>1.9765739385065886E-2</v>
      </c>
    </row>
    <row r="18" spans="1:12" x14ac:dyDescent="0.25">
      <c r="A18" s="21">
        <v>46062</v>
      </c>
      <c r="B18" t="s">
        <v>38</v>
      </c>
      <c r="C18" t="s">
        <v>57</v>
      </c>
      <c r="D18">
        <v>1200</v>
      </c>
      <c r="E18">
        <v>1113</v>
      </c>
      <c r="F18" t="s">
        <v>50</v>
      </c>
      <c r="G18">
        <v>29</v>
      </c>
      <c r="H18" t="s">
        <v>51</v>
      </c>
      <c r="I18" t="s">
        <v>52</v>
      </c>
      <c r="J18" t="s">
        <v>48</v>
      </c>
      <c r="K18">
        <v>0.92749999999999999</v>
      </c>
      <c r="L18">
        <v>2.605570530098832E-2</v>
      </c>
    </row>
    <row r="19" spans="1:12" x14ac:dyDescent="0.25">
      <c r="A19" s="21">
        <v>46062</v>
      </c>
      <c r="B19" t="s">
        <v>38</v>
      </c>
      <c r="C19" t="s">
        <v>57</v>
      </c>
      <c r="D19">
        <v>1500</v>
      </c>
      <c r="E19">
        <v>1296</v>
      </c>
      <c r="F19" t="s">
        <v>58</v>
      </c>
      <c r="G19">
        <v>52</v>
      </c>
      <c r="H19" t="s">
        <v>59</v>
      </c>
      <c r="I19" t="s">
        <v>52</v>
      </c>
      <c r="J19" t="s">
        <v>43</v>
      </c>
      <c r="K19">
        <v>0.86399999999999999</v>
      </c>
      <c r="L19">
        <v>4.0123456790123455E-2</v>
      </c>
    </row>
    <row r="20" spans="1:12" x14ac:dyDescent="0.25">
      <c r="A20" s="21">
        <v>46023</v>
      </c>
      <c r="B20" t="s">
        <v>38</v>
      </c>
      <c r="C20" t="s">
        <v>39</v>
      </c>
      <c r="D20">
        <v>1000</v>
      </c>
      <c r="E20">
        <v>941</v>
      </c>
      <c r="F20" t="s">
        <v>40</v>
      </c>
      <c r="G20">
        <v>16</v>
      </c>
      <c r="H20" t="s">
        <v>41</v>
      </c>
      <c r="I20" t="s">
        <v>42</v>
      </c>
      <c r="J20" t="s">
        <v>43</v>
      </c>
      <c r="K20">
        <v>0.94099999999999995</v>
      </c>
      <c r="L20">
        <v>1.7003188097768331E-2</v>
      </c>
    </row>
    <row r="21" spans="1:12" x14ac:dyDescent="0.25">
      <c r="A21" s="21">
        <v>46026</v>
      </c>
      <c r="B21" t="s">
        <v>38</v>
      </c>
      <c r="C21" t="s">
        <v>39</v>
      </c>
      <c r="D21">
        <v>1000</v>
      </c>
      <c r="E21">
        <v>967</v>
      </c>
      <c r="F21" t="s">
        <v>40</v>
      </c>
      <c r="G21">
        <v>6</v>
      </c>
      <c r="H21" t="s">
        <v>41</v>
      </c>
      <c r="I21" t="s">
        <v>47</v>
      </c>
      <c r="J21" t="s">
        <v>48</v>
      </c>
      <c r="K21">
        <v>0.96699999999999997</v>
      </c>
      <c r="L21">
        <v>6.2047569803516025E-3</v>
      </c>
    </row>
    <row r="22" spans="1:12" x14ac:dyDescent="0.25">
      <c r="A22" s="21">
        <v>46182</v>
      </c>
      <c r="B22" t="s">
        <v>38</v>
      </c>
      <c r="C22" t="s">
        <v>39</v>
      </c>
      <c r="D22">
        <v>1200</v>
      </c>
      <c r="E22">
        <v>1134</v>
      </c>
      <c r="F22" t="s">
        <v>61</v>
      </c>
      <c r="G22">
        <v>11</v>
      </c>
      <c r="H22" t="s">
        <v>62</v>
      </c>
      <c r="I22" t="s">
        <v>47</v>
      </c>
      <c r="J22" t="s">
        <v>43</v>
      </c>
      <c r="K22">
        <v>0.94499999999999995</v>
      </c>
      <c r="L22">
        <v>9.700176366843033E-3</v>
      </c>
    </row>
    <row r="23" spans="1:12" x14ac:dyDescent="0.25">
      <c r="A23" s="21">
        <v>46177</v>
      </c>
      <c r="B23" t="s">
        <v>38</v>
      </c>
      <c r="C23" t="s">
        <v>39</v>
      </c>
      <c r="D23">
        <v>1000</v>
      </c>
      <c r="E23">
        <v>958</v>
      </c>
      <c r="F23" t="s">
        <v>40</v>
      </c>
      <c r="G23">
        <v>28</v>
      </c>
      <c r="H23" t="s">
        <v>41</v>
      </c>
      <c r="I23" t="s">
        <v>47</v>
      </c>
      <c r="J23" t="s">
        <v>48</v>
      </c>
      <c r="K23">
        <v>0.95799999999999996</v>
      </c>
      <c r="L23">
        <v>2.9227557411273485E-2</v>
      </c>
    </row>
    <row r="24" spans="1:12" x14ac:dyDescent="0.25">
      <c r="A24" s="21">
        <v>46027</v>
      </c>
      <c r="B24" t="s">
        <v>38</v>
      </c>
      <c r="C24" t="s">
        <v>39</v>
      </c>
      <c r="D24">
        <v>1200</v>
      </c>
      <c r="E24">
        <v>1071</v>
      </c>
      <c r="F24" t="s">
        <v>54</v>
      </c>
      <c r="G24">
        <v>50</v>
      </c>
      <c r="H24" t="s">
        <v>55</v>
      </c>
      <c r="I24" t="s">
        <v>52</v>
      </c>
      <c r="J24" t="s">
        <v>56</v>
      </c>
      <c r="K24">
        <v>0.89249999999999996</v>
      </c>
      <c r="L24">
        <v>4.6685340802987862E-2</v>
      </c>
    </row>
    <row r="25" spans="1:12" x14ac:dyDescent="0.25">
      <c r="A25" s="21">
        <v>46172</v>
      </c>
      <c r="B25" t="s">
        <v>38</v>
      </c>
      <c r="C25" t="s">
        <v>39</v>
      </c>
      <c r="D25">
        <v>1200</v>
      </c>
      <c r="E25">
        <v>1043</v>
      </c>
      <c r="F25" t="s">
        <v>58</v>
      </c>
      <c r="G25">
        <v>19</v>
      </c>
      <c r="H25" t="s">
        <v>59</v>
      </c>
      <c r="I25" t="s">
        <v>63</v>
      </c>
      <c r="J25" t="s">
        <v>48</v>
      </c>
      <c r="K25">
        <v>0.86916666666666664</v>
      </c>
      <c r="L25">
        <v>1.8216682646212849E-2</v>
      </c>
    </row>
    <row r="26" spans="1:12" x14ac:dyDescent="0.25">
      <c r="A26" s="21">
        <v>46171</v>
      </c>
      <c r="B26" t="s">
        <v>38</v>
      </c>
      <c r="C26" t="s">
        <v>39</v>
      </c>
      <c r="D26">
        <v>1200</v>
      </c>
      <c r="E26">
        <v>1008</v>
      </c>
      <c r="F26" t="s">
        <v>50</v>
      </c>
      <c r="G26">
        <v>48</v>
      </c>
      <c r="H26" t="s">
        <v>51</v>
      </c>
      <c r="I26" t="s">
        <v>52</v>
      </c>
      <c r="J26" t="s">
        <v>48</v>
      </c>
      <c r="K26">
        <v>0.84</v>
      </c>
      <c r="L26">
        <v>4.7619047619047616E-2</v>
      </c>
    </row>
    <row r="27" spans="1:12" x14ac:dyDescent="0.25">
      <c r="A27" s="21">
        <v>46160</v>
      </c>
      <c r="B27" t="s">
        <v>38</v>
      </c>
      <c r="C27" t="s">
        <v>39</v>
      </c>
      <c r="D27">
        <v>1000</v>
      </c>
      <c r="E27">
        <v>938</v>
      </c>
      <c r="F27" t="s">
        <v>40</v>
      </c>
      <c r="G27">
        <v>6</v>
      </c>
      <c r="H27" t="s">
        <v>41</v>
      </c>
      <c r="I27" t="s">
        <v>52</v>
      </c>
      <c r="J27" t="s">
        <v>48</v>
      </c>
      <c r="K27">
        <v>0.93799999999999994</v>
      </c>
      <c r="L27">
        <v>6.3965884861407248E-3</v>
      </c>
    </row>
    <row r="28" spans="1:12" x14ac:dyDescent="0.25">
      <c r="A28" s="21">
        <v>46158</v>
      </c>
      <c r="B28" t="s">
        <v>38</v>
      </c>
      <c r="C28" t="s">
        <v>39</v>
      </c>
      <c r="D28">
        <v>1000</v>
      </c>
      <c r="E28">
        <v>866</v>
      </c>
      <c r="F28" t="s">
        <v>58</v>
      </c>
      <c r="G28">
        <v>20</v>
      </c>
      <c r="H28" t="s">
        <v>59</v>
      </c>
      <c r="I28" t="s">
        <v>52</v>
      </c>
      <c r="J28" t="s">
        <v>48</v>
      </c>
      <c r="K28">
        <v>0.86599999999999999</v>
      </c>
      <c r="L28">
        <v>2.3094688221709007E-2</v>
      </c>
    </row>
    <row r="29" spans="1:12" x14ac:dyDescent="0.25">
      <c r="A29" s="21">
        <v>46030</v>
      </c>
      <c r="B29" t="s">
        <v>38</v>
      </c>
      <c r="C29" t="s">
        <v>39</v>
      </c>
      <c r="D29">
        <v>1000</v>
      </c>
      <c r="E29">
        <v>1012</v>
      </c>
      <c r="F29" t="s">
        <v>40</v>
      </c>
      <c r="G29">
        <v>5</v>
      </c>
      <c r="H29" t="s">
        <v>41</v>
      </c>
      <c r="I29" t="s">
        <v>47</v>
      </c>
      <c r="J29" t="s">
        <v>56</v>
      </c>
      <c r="K29">
        <v>1.012</v>
      </c>
      <c r="L29">
        <v>4.940711462450593E-3</v>
      </c>
    </row>
    <row r="30" spans="1:12" x14ac:dyDescent="0.25">
      <c r="A30" s="21">
        <v>46030</v>
      </c>
      <c r="B30" t="s">
        <v>38</v>
      </c>
      <c r="C30" t="s">
        <v>39</v>
      </c>
      <c r="D30">
        <v>1200</v>
      </c>
      <c r="E30">
        <v>989</v>
      </c>
      <c r="F30" t="s">
        <v>54</v>
      </c>
      <c r="G30">
        <v>14</v>
      </c>
      <c r="H30" t="s">
        <v>55</v>
      </c>
      <c r="I30" t="s">
        <v>52</v>
      </c>
      <c r="J30" t="s">
        <v>48</v>
      </c>
      <c r="K30">
        <v>0.82416666666666671</v>
      </c>
      <c r="L30">
        <v>1.4155712841253791E-2</v>
      </c>
    </row>
    <row r="31" spans="1:12" x14ac:dyDescent="0.25">
      <c r="A31" s="21">
        <v>46152</v>
      </c>
      <c r="B31" t="s">
        <v>38</v>
      </c>
      <c r="C31" t="s">
        <v>39</v>
      </c>
      <c r="D31">
        <v>1000</v>
      </c>
      <c r="E31">
        <v>847</v>
      </c>
      <c r="F31" t="s">
        <v>58</v>
      </c>
      <c r="G31">
        <v>16</v>
      </c>
      <c r="H31" t="s">
        <v>59</v>
      </c>
      <c r="I31" t="s">
        <v>47</v>
      </c>
      <c r="J31" t="s">
        <v>48</v>
      </c>
      <c r="K31">
        <v>0.84699999999999998</v>
      </c>
      <c r="L31">
        <v>1.8890200708382526E-2</v>
      </c>
    </row>
    <row r="32" spans="1:12" x14ac:dyDescent="0.25">
      <c r="A32" s="21">
        <v>46033</v>
      </c>
      <c r="B32" t="s">
        <v>38</v>
      </c>
      <c r="C32" t="s">
        <v>39</v>
      </c>
      <c r="D32">
        <v>1500</v>
      </c>
      <c r="E32">
        <v>1347</v>
      </c>
      <c r="F32" t="s">
        <v>54</v>
      </c>
      <c r="G32">
        <v>22</v>
      </c>
      <c r="H32" t="s">
        <v>55</v>
      </c>
      <c r="I32" t="s">
        <v>42</v>
      </c>
      <c r="J32" t="s">
        <v>48</v>
      </c>
      <c r="K32">
        <v>0.89800000000000002</v>
      </c>
      <c r="L32">
        <v>1.6332590942835932E-2</v>
      </c>
    </row>
    <row r="33" spans="1:12" x14ac:dyDescent="0.25">
      <c r="A33" s="21">
        <v>46131</v>
      </c>
      <c r="B33" t="s">
        <v>38</v>
      </c>
      <c r="C33" t="s">
        <v>39</v>
      </c>
      <c r="D33">
        <v>1000</v>
      </c>
      <c r="E33">
        <v>1009</v>
      </c>
      <c r="F33" t="s">
        <v>45</v>
      </c>
      <c r="G33">
        <v>8</v>
      </c>
      <c r="H33" t="s">
        <v>46</v>
      </c>
      <c r="I33" t="s">
        <v>52</v>
      </c>
      <c r="J33" t="s">
        <v>48</v>
      </c>
      <c r="K33">
        <v>1.0089999999999999</v>
      </c>
      <c r="L33">
        <v>7.9286422200198214E-3</v>
      </c>
    </row>
    <row r="34" spans="1:12" x14ac:dyDescent="0.25">
      <c r="A34" s="21">
        <v>46131</v>
      </c>
      <c r="B34" t="s">
        <v>38</v>
      </c>
      <c r="C34" t="s">
        <v>39</v>
      </c>
      <c r="D34">
        <v>1200</v>
      </c>
      <c r="E34">
        <v>997</v>
      </c>
      <c r="F34" t="s">
        <v>40</v>
      </c>
      <c r="G34">
        <v>11</v>
      </c>
      <c r="H34" t="s">
        <v>41</v>
      </c>
      <c r="I34" t="s">
        <v>47</v>
      </c>
      <c r="J34" t="s">
        <v>43</v>
      </c>
      <c r="K34">
        <v>0.83083333333333331</v>
      </c>
      <c r="L34">
        <v>1.1033099297893681E-2</v>
      </c>
    </row>
    <row r="35" spans="1:12" x14ac:dyDescent="0.25">
      <c r="A35" s="21">
        <v>46111</v>
      </c>
      <c r="B35" t="s">
        <v>38</v>
      </c>
      <c r="C35" t="s">
        <v>39</v>
      </c>
      <c r="D35">
        <v>1000</v>
      </c>
      <c r="E35">
        <v>956</v>
      </c>
      <c r="F35" t="s">
        <v>40</v>
      </c>
      <c r="G35">
        <v>44</v>
      </c>
      <c r="H35" t="s">
        <v>41</v>
      </c>
      <c r="I35" t="s">
        <v>63</v>
      </c>
      <c r="J35" t="s">
        <v>43</v>
      </c>
      <c r="K35">
        <v>0.95599999999999996</v>
      </c>
      <c r="L35">
        <v>4.6025104602510462E-2</v>
      </c>
    </row>
    <row r="36" spans="1:12" x14ac:dyDescent="0.25">
      <c r="A36" s="21">
        <v>46042</v>
      </c>
      <c r="B36" t="s">
        <v>38</v>
      </c>
      <c r="C36" t="s">
        <v>39</v>
      </c>
      <c r="D36">
        <v>1200</v>
      </c>
      <c r="E36">
        <v>1197</v>
      </c>
      <c r="F36" t="s">
        <v>40</v>
      </c>
      <c r="G36">
        <v>32</v>
      </c>
      <c r="H36" t="s">
        <v>41</v>
      </c>
      <c r="I36" t="s">
        <v>63</v>
      </c>
      <c r="J36" t="s">
        <v>48</v>
      </c>
      <c r="K36">
        <v>0.99750000000000005</v>
      </c>
      <c r="L36">
        <v>2.6733500417710943E-2</v>
      </c>
    </row>
    <row r="37" spans="1:12" x14ac:dyDescent="0.25">
      <c r="A37" s="21">
        <v>46043</v>
      </c>
      <c r="B37" t="s">
        <v>38</v>
      </c>
      <c r="C37" t="s">
        <v>39</v>
      </c>
      <c r="D37">
        <v>1200</v>
      </c>
      <c r="E37">
        <v>985</v>
      </c>
      <c r="F37" t="s">
        <v>58</v>
      </c>
      <c r="G37">
        <v>40</v>
      </c>
      <c r="H37" t="s">
        <v>59</v>
      </c>
      <c r="I37" t="s">
        <v>47</v>
      </c>
      <c r="J37" t="s">
        <v>48</v>
      </c>
      <c r="K37">
        <v>0.8208333333333333</v>
      </c>
      <c r="L37">
        <v>4.060913705583756E-2</v>
      </c>
    </row>
    <row r="38" spans="1:12" x14ac:dyDescent="0.25">
      <c r="A38" s="21">
        <v>46100</v>
      </c>
      <c r="B38" t="s">
        <v>38</v>
      </c>
      <c r="C38" t="s">
        <v>39</v>
      </c>
      <c r="D38">
        <v>1000</v>
      </c>
      <c r="E38">
        <v>1010</v>
      </c>
      <c r="F38" t="s">
        <v>50</v>
      </c>
      <c r="G38">
        <v>5</v>
      </c>
      <c r="H38" t="s">
        <v>51</v>
      </c>
      <c r="I38" t="s">
        <v>42</v>
      </c>
      <c r="J38" t="s">
        <v>43</v>
      </c>
      <c r="K38">
        <v>1.01</v>
      </c>
      <c r="L38">
        <v>4.9504950495049506E-3</v>
      </c>
    </row>
    <row r="39" spans="1:12" x14ac:dyDescent="0.25">
      <c r="A39" s="21">
        <v>46075</v>
      </c>
      <c r="B39" t="s">
        <v>38</v>
      </c>
      <c r="C39" t="s">
        <v>39</v>
      </c>
      <c r="D39">
        <v>1000</v>
      </c>
      <c r="E39">
        <v>820</v>
      </c>
      <c r="F39" t="s">
        <v>40</v>
      </c>
      <c r="G39">
        <v>37</v>
      </c>
      <c r="H39" t="s">
        <v>41</v>
      </c>
      <c r="I39" t="s">
        <v>63</v>
      </c>
      <c r="J39" t="s">
        <v>56</v>
      </c>
      <c r="K39">
        <v>0.82</v>
      </c>
      <c r="L39">
        <v>4.5121951219512194E-2</v>
      </c>
    </row>
    <row r="40" spans="1:12" x14ac:dyDescent="0.25">
      <c r="A40" s="21">
        <v>46074</v>
      </c>
      <c r="B40" t="s">
        <v>38</v>
      </c>
      <c r="C40" t="s">
        <v>39</v>
      </c>
      <c r="D40">
        <v>1000</v>
      </c>
      <c r="E40">
        <v>869</v>
      </c>
      <c r="F40" t="s">
        <v>40</v>
      </c>
      <c r="G40">
        <v>42</v>
      </c>
      <c r="H40" t="s">
        <v>41</v>
      </c>
      <c r="I40" t="s">
        <v>52</v>
      </c>
      <c r="J40" t="s">
        <v>56</v>
      </c>
      <c r="K40">
        <v>0.86899999999999999</v>
      </c>
      <c r="L40">
        <v>4.8331415420023012E-2</v>
      </c>
    </row>
    <row r="41" spans="1:12" x14ac:dyDescent="0.25">
      <c r="A41" s="21">
        <v>46073</v>
      </c>
      <c r="B41" t="s">
        <v>38</v>
      </c>
      <c r="C41" t="s">
        <v>39</v>
      </c>
      <c r="D41">
        <v>1000</v>
      </c>
      <c r="E41">
        <v>1005</v>
      </c>
      <c r="F41" t="s">
        <v>40</v>
      </c>
      <c r="G41">
        <v>41</v>
      </c>
      <c r="H41" t="s">
        <v>41</v>
      </c>
      <c r="I41" t="s">
        <v>42</v>
      </c>
      <c r="J41" t="s">
        <v>48</v>
      </c>
      <c r="K41">
        <v>1.0049999999999999</v>
      </c>
      <c r="L41">
        <v>4.0796019900497513E-2</v>
      </c>
    </row>
    <row r="42" spans="1:12" x14ac:dyDescent="0.25">
      <c r="A42" s="21">
        <v>46066</v>
      </c>
      <c r="B42" t="s">
        <v>38</v>
      </c>
      <c r="C42" t="s">
        <v>39</v>
      </c>
      <c r="D42">
        <v>1500</v>
      </c>
      <c r="E42">
        <v>1287</v>
      </c>
      <c r="F42" t="s">
        <v>58</v>
      </c>
      <c r="G42">
        <v>7</v>
      </c>
      <c r="H42" t="s">
        <v>59</v>
      </c>
      <c r="I42" t="s">
        <v>63</v>
      </c>
      <c r="J42" t="s">
        <v>48</v>
      </c>
      <c r="K42">
        <v>0.85799999999999998</v>
      </c>
      <c r="L42">
        <v>5.439005439005439E-3</v>
      </c>
    </row>
    <row r="43" spans="1:12" x14ac:dyDescent="0.25">
      <c r="A43" s="21">
        <v>46062</v>
      </c>
      <c r="B43" t="s">
        <v>38</v>
      </c>
      <c r="C43" t="s">
        <v>39</v>
      </c>
      <c r="D43">
        <v>1000</v>
      </c>
      <c r="E43">
        <v>1001</v>
      </c>
      <c r="F43" t="s">
        <v>50</v>
      </c>
      <c r="G43">
        <v>44</v>
      </c>
      <c r="H43" t="s">
        <v>51</v>
      </c>
      <c r="I43" t="s">
        <v>63</v>
      </c>
      <c r="J43" t="s">
        <v>48</v>
      </c>
      <c r="K43">
        <v>1.0009999999999999</v>
      </c>
      <c r="L43">
        <v>4.3956043956043959E-2</v>
      </c>
    </row>
    <row r="44" spans="1:12" x14ac:dyDescent="0.25">
      <c r="A44" s="21">
        <v>46183</v>
      </c>
      <c r="B44" t="s">
        <v>38</v>
      </c>
      <c r="C44" t="s">
        <v>49</v>
      </c>
      <c r="D44">
        <v>1200</v>
      </c>
      <c r="E44">
        <v>1149</v>
      </c>
      <c r="F44" t="s">
        <v>40</v>
      </c>
      <c r="G44">
        <v>28</v>
      </c>
      <c r="H44" t="s">
        <v>41</v>
      </c>
      <c r="I44" t="s">
        <v>47</v>
      </c>
      <c r="J44" t="s">
        <v>48</v>
      </c>
      <c r="K44">
        <v>0.95750000000000002</v>
      </c>
      <c r="L44">
        <v>2.4369016536118365E-2</v>
      </c>
    </row>
    <row r="45" spans="1:12" x14ac:dyDescent="0.25">
      <c r="A45" s="21">
        <v>46029</v>
      </c>
      <c r="B45" t="s">
        <v>38</v>
      </c>
      <c r="C45" t="s">
        <v>49</v>
      </c>
      <c r="D45">
        <v>1200</v>
      </c>
      <c r="E45">
        <v>1085</v>
      </c>
      <c r="F45" t="s">
        <v>61</v>
      </c>
      <c r="G45">
        <v>35</v>
      </c>
      <c r="H45" t="s">
        <v>62</v>
      </c>
      <c r="I45" t="s">
        <v>63</v>
      </c>
      <c r="J45" t="s">
        <v>48</v>
      </c>
      <c r="K45">
        <v>0.90416666666666667</v>
      </c>
      <c r="L45">
        <v>3.2258064516129031E-2</v>
      </c>
    </row>
    <row r="46" spans="1:12" x14ac:dyDescent="0.25">
      <c r="A46" s="21">
        <v>46151</v>
      </c>
      <c r="B46" t="s">
        <v>38</v>
      </c>
      <c r="C46" t="s">
        <v>49</v>
      </c>
      <c r="D46">
        <v>1200</v>
      </c>
      <c r="E46">
        <v>984</v>
      </c>
      <c r="F46" t="s">
        <v>40</v>
      </c>
      <c r="G46">
        <v>9</v>
      </c>
      <c r="H46" t="s">
        <v>41</v>
      </c>
      <c r="I46" t="s">
        <v>47</v>
      </c>
      <c r="J46" t="s">
        <v>48</v>
      </c>
      <c r="K46">
        <v>0.82</v>
      </c>
      <c r="L46">
        <v>9.1463414634146336E-3</v>
      </c>
    </row>
    <row r="47" spans="1:12" x14ac:dyDescent="0.25">
      <c r="A47" s="21">
        <v>46150</v>
      </c>
      <c r="B47" t="s">
        <v>38</v>
      </c>
      <c r="C47" t="s">
        <v>49</v>
      </c>
      <c r="D47">
        <v>1500</v>
      </c>
      <c r="E47">
        <v>1420</v>
      </c>
      <c r="F47" t="s">
        <v>40</v>
      </c>
      <c r="G47">
        <v>34</v>
      </c>
      <c r="H47" t="s">
        <v>41</v>
      </c>
      <c r="I47" t="s">
        <v>63</v>
      </c>
      <c r="J47" t="s">
        <v>56</v>
      </c>
      <c r="K47">
        <v>0.94666666666666666</v>
      </c>
      <c r="L47">
        <v>2.3943661971830985E-2</v>
      </c>
    </row>
    <row r="48" spans="1:12" x14ac:dyDescent="0.25">
      <c r="A48" s="21">
        <v>46141</v>
      </c>
      <c r="B48" t="s">
        <v>38</v>
      </c>
      <c r="C48" t="s">
        <v>49</v>
      </c>
      <c r="D48">
        <v>1500</v>
      </c>
      <c r="E48">
        <v>1278</v>
      </c>
      <c r="F48" t="s">
        <v>58</v>
      </c>
      <c r="G48">
        <v>29</v>
      </c>
      <c r="H48" t="s">
        <v>59</v>
      </c>
      <c r="I48" t="s">
        <v>63</v>
      </c>
      <c r="J48" t="s">
        <v>48</v>
      </c>
      <c r="K48">
        <v>0.85199999999999998</v>
      </c>
      <c r="L48">
        <v>2.2691705790297341E-2</v>
      </c>
    </row>
    <row r="49" spans="1:12" x14ac:dyDescent="0.25">
      <c r="A49" s="21">
        <v>46139</v>
      </c>
      <c r="B49" t="s">
        <v>38</v>
      </c>
      <c r="C49" t="s">
        <v>49</v>
      </c>
      <c r="D49">
        <v>1000</v>
      </c>
      <c r="E49">
        <v>930</v>
      </c>
      <c r="F49" t="s">
        <v>58</v>
      </c>
      <c r="G49">
        <v>27</v>
      </c>
      <c r="H49" t="s">
        <v>59</v>
      </c>
      <c r="I49" t="s">
        <v>52</v>
      </c>
      <c r="J49" t="s">
        <v>43</v>
      </c>
      <c r="K49">
        <v>0.93</v>
      </c>
      <c r="L49">
        <v>2.903225806451613E-2</v>
      </c>
    </row>
    <row r="50" spans="1:12" x14ac:dyDescent="0.25">
      <c r="A50" s="21">
        <v>46136</v>
      </c>
      <c r="B50" t="s">
        <v>38</v>
      </c>
      <c r="C50" t="s">
        <v>49</v>
      </c>
      <c r="D50">
        <v>1000</v>
      </c>
      <c r="E50">
        <v>827</v>
      </c>
      <c r="F50" t="s">
        <v>40</v>
      </c>
      <c r="G50">
        <v>52</v>
      </c>
      <c r="H50" t="s">
        <v>41</v>
      </c>
      <c r="I50" t="s">
        <v>63</v>
      </c>
      <c r="J50" t="s">
        <v>48</v>
      </c>
      <c r="K50">
        <v>0.82699999999999996</v>
      </c>
      <c r="L50">
        <v>6.2877871825876661E-2</v>
      </c>
    </row>
    <row r="51" spans="1:12" x14ac:dyDescent="0.25">
      <c r="A51" s="21">
        <v>46122</v>
      </c>
      <c r="B51" t="s">
        <v>38</v>
      </c>
      <c r="C51" t="s">
        <v>49</v>
      </c>
      <c r="D51">
        <v>1500</v>
      </c>
      <c r="E51">
        <v>1245</v>
      </c>
      <c r="F51" t="s">
        <v>40</v>
      </c>
      <c r="G51">
        <v>18</v>
      </c>
      <c r="H51" t="s">
        <v>41</v>
      </c>
      <c r="I51" t="s">
        <v>42</v>
      </c>
      <c r="J51" t="s">
        <v>48</v>
      </c>
      <c r="K51">
        <v>0.83</v>
      </c>
      <c r="L51">
        <v>1.4457831325301205E-2</v>
      </c>
    </row>
    <row r="52" spans="1:12" x14ac:dyDescent="0.25">
      <c r="A52" s="21">
        <v>46114</v>
      </c>
      <c r="B52" t="s">
        <v>38</v>
      </c>
      <c r="C52" t="s">
        <v>49</v>
      </c>
      <c r="D52">
        <v>1200</v>
      </c>
      <c r="E52">
        <v>1194</v>
      </c>
      <c r="F52" t="s">
        <v>40</v>
      </c>
      <c r="G52">
        <v>10</v>
      </c>
      <c r="H52" t="s">
        <v>41</v>
      </c>
      <c r="I52" t="s">
        <v>52</v>
      </c>
      <c r="J52" t="s">
        <v>48</v>
      </c>
      <c r="K52">
        <v>0.995</v>
      </c>
      <c r="L52">
        <v>8.3752093802345051E-3</v>
      </c>
    </row>
    <row r="53" spans="1:12" x14ac:dyDescent="0.25">
      <c r="A53" s="21">
        <v>46042</v>
      </c>
      <c r="B53" t="s">
        <v>38</v>
      </c>
      <c r="C53" t="s">
        <v>49</v>
      </c>
      <c r="D53">
        <v>1000</v>
      </c>
      <c r="E53">
        <v>942</v>
      </c>
      <c r="F53" t="s">
        <v>40</v>
      </c>
      <c r="G53">
        <v>41</v>
      </c>
      <c r="H53" t="s">
        <v>41</v>
      </c>
      <c r="I53" t="s">
        <v>63</v>
      </c>
      <c r="J53" t="s">
        <v>48</v>
      </c>
      <c r="K53">
        <v>0.94199999999999995</v>
      </c>
      <c r="L53">
        <v>4.3524416135881101E-2</v>
      </c>
    </row>
    <row r="54" spans="1:12" x14ac:dyDescent="0.25">
      <c r="A54" s="21">
        <v>46043</v>
      </c>
      <c r="B54" t="s">
        <v>38</v>
      </c>
      <c r="C54" t="s">
        <v>49</v>
      </c>
      <c r="D54">
        <v>1200</v>
      </c>
      <c r="E54">
        <v>1211</v>
      </c>
      <c r="F54" t="s">
        <v>45</v>
      </c>
      <c r="G54">
        <v>13</v>
      </c>
      <c r="H54" t="s">
        <v>46</v>
      </c>
      <c r="I54" t="s">
        <v>63</v>
      </c>
      <c r="J54" t="s">
        <v>48</v>
      </c>
      <c r="K54">
        <v>1.0091666666666668</v>
      </c>
      <c r="L54">
        <v>1.0734929810074319E-2</v>
      </c>
    </row>
    <row r="55" spans="1:12" x14ac:dyDescent="0.25">
      <c r="A55" s="21">
        <v>46110</v>
      </c>
      <c r="B55" t="s">
        <v>38</v>
      </c>
      <c r="C55" t="s">
        <v>49</v>
      </c>
      <c r="D55">
        <v>1200</v>
      </c>
      <c r="E55">
        <v>1052</v>
      </c>
      <c r="F55" t="s">
        <v>58</v>
      </c>
      <c r="G55">
        <v>46</v>
      </c>
      <c r="H55" t="s">
        <v>59</v>
      </c>
      <c r="I55" t="s">
        <v>63</v>
      </c>
      <c r="J55" t="s">
        <v>48</v>
      </c>
      <c r="K55">
        <v>0.87666666666666671</v>
      </c>
      <c r="L55">
        <v>4.3726235741444866E-2</v>
      </c>
    </row>
    <row r="56" spans="1:12" x14ac:dyDescent="0.25">
      <c r="A56" s="21">
        <v>46044</v>
      </c>
      <c r="B56" t="s">
        <v>38</v>
      </c>
      <c r="C56" t="s">
        <v>49</v>
      </c>
      <c r="D56">
        <v>1500</v>
      </c>
      <c r="E56">
        <v>1304</v>
      </c>
      <c r="F56" t="s">
        <v>40</v>
      </c>
      <c r="G56">
        <v>53</v>
      </c>
      <c r="H56" t="s">
        <v>41</v>
      </c>
      <c r="I56" t="s">
        <v>63</v>
      </c>
      <c r="J56" t="s">
        <v>48</v>
      </c>
      <c r="K56">
        <v>0.86933333333333329</v>
      </c>
      <c r="L56">
        <v>4.0644171779141106E-2</v>
      </c>
    </row>
    <row r="57" spans="1:12" x14ac:dyDescent="0.25">
      <c r="A57" s="21">
        <v>46085</v>
      </c>
      <c r="B57" t="s">
        <v>38</v>
      </c>
      <c r="C57" t="s">
        <v>49</v>
      </c>
      <c r="D57">
        <v>1200</v>
      </c>
      <c r="E57">
        <v>1140</v>
      </c>
      <c r="F57" t="s">
        <v>40</v>
      </c>
      <c r="G57">
        <v>31</v>
      </c>
      <c r="H57" t="s">
        <v>41</v>
      </c>
      <c r="I57" t="s">
        <v>52</v>
      </c>
      <c r="J57" t="s">
        <v>48</v>
      </c>
      <c r="K57">
        <v>0.95</v>
      </c>
      <c r="L57">
        <v>2.7192982456140352E-2</v>
      </c>
    </row>
    <row r="58" spans="1:12" x14ac:dyDescent="0.25">
      <c r="A58" s="21">
        <v>46078</v>
      </c>
      <c r="B58" t="s">
        <v>38</v>
      </c>
      <c r="C58" t="s">
        <v>49</v>
      </c>
      <c r="D58">
        <v>1500</v>
      </c>
      <c r="E58">
        <v>1254</v>
      </c>
      <c r="F58" t="s">
        <v>40</v>
      </c>
      <c r="G58">
        <v>42</v>
      </c>
      <c r="H58" t="s">
        <v>41</v>
      </c>
      <c r="I58" t="s">
        <v>63</v>
      </c>
      <c r="J58" t="s">
        <v>48</v>
      </c>
      <c r="K58">
        <v>0.83599999999999997</v>
      </c>
      <c r="L58">
        <v>3.3492822966507178E-2</v>
      </c>
    </row>
    <row r="59" spans="1:12" x14ac:dyDescent="0.25">
      <c r="A59" s="21">
        <v>46063</v>
      </c>
      <c r="B59" t="s">
        <v>38</v>
      </c>
      <c r="C59" t="s">
        <v>49</v>
      </c>
      <c r="D59">
        <v>1000</v>
      </c>
      <c r="E59">
        <v>834</v>
      </c>
      <c r="F59" t="s">
        <v>45</v>
      </c>
      <c r="G59">
        <v>36</v>
      </c>
      <c r="H59" t="s">
        <v>46</v>
      </c>
      <c r="I59" t="s">
        <v>42</v>
      </c>
      <c r="J59" t="s">
        <v>48</v>
      </c>
      <c r="K59">
        <v>0.83399999999999996</v>
      </c>
      <c r="L59">
        <v>4.3165467625899283E-2</v>
      </c>
    </row>
    <row r="60" spans="1:12" x14ac:dyDescent="0.25">
      <c r="A60" s="21">
        <v>46062</v>
      </c>
      <c r="B60" t="s">
        <v>38</v>
      </c>
      <c r="C60" t="s">
        <v>49</v>
      </c>
      <c r="D60">
        <v>1000</v>
      </c>
      <c r="E60">
        <v>846</v>
      </c>
      <c r="F60" t="s">
        <v>61</v>
      </c>
      <c r="G60">
        <v>44</v>
      </c>
      <c r="H60" t="s">
        <v>62</v>
      </c>
      <c r="I60" t="s">
        <v>47</v>
      </c>
      <c r="J60" t="s">
        <v>48</v>
      </c>
      <c r="K60">
        <v>0.84599999999999997</v>
      </c>
      <c r="L60">
        <v>5.2009456264775412E-2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080C9-AE91-4A78-A77A-68D4E20B5D25}">
  <dimension ref="A1:N47"/>
  <sheetViews>
    <sheetView workbookViewId="0">
      <selection activeCell="A3" sqref="A3:N47"/>
    </sheetView>
  </sheetViews>
  <sheetFormatPr defaultRowHeight="15" x14ac:dyDescent="0.25"/>
  <cols>
    <col min="1" max="1" width="10.7109375" bestFit="1" customWidth="1"/>
    <col min="2" max="3" width="16.5703125" bestFit="1" customWidth="1"/>
    <col min="4" max="4" width="17.28515625" bestFit="1" customWidth="1"/>
    <col min="5" max="5" width="9.28515625" bestFit="1" customWidth="1"/>
    <col min="6" max="7" width="22" bestFit="1" customWidth="1"/>
    <col min="8" max="8" width="21.42578125" bestFit="1" customWidth="1"/>
    <col min="9" max="9" width="19" bestFit="1" customWidth="1"/>
    <col min="10" max="10" width="54.140625" bestFit="1" customWidth="1"/>
    <col min="11" max="11" width="25.7109375" bestFit="1" customWidth="1"/>
    <col min="12" max="12" width="19.42578125" bestFit="1" customWidth="1"/>
    <col min="13" max="13" width="20.7109375" bestFit="1" customWidth="1"/>
    <col min="14" max="14" width="17.140625" bestFit="1" customWidth="1"/>
  </cols>
  <sheetData>
    <row r="1" spans="1:14" x14ac:dyDescent="0.25">
      <c r="A1" s="22" t="s">
        <v>114</v>
      </c>
    </row>
    <row r="3" spans="1:14" x14ac:dyDescent="0.25">
      <c r="A3" t="s">
        <v>26</v>
      </c>
      <c r="B3" t="s">
        <v>82</v>
      </c>
      <c r="C3" t="s">
        <v>83</v>
      </c>
      <c r="D3" t="s">
        <v>27</v>
      </c>
      <c r="E3" t="s">
        <v>28</v>
      </c>
      <c r="F3" t="s">
        <v>29</v>
      </c>
      <c r="G3" t="s">
        <v>30</v>
      </c>
      <c r="H3" t="s">
        <v>31</v>
      </c>
      <c r="I3" t="s">
        <v>32</v>
      </c>
      <c r="J3" t="s">
        <v>33</v>
      </c>
      <c r="K3" t="s">
        <v>34</v>
      </c>
      <c r="L3" t="s">
        <v>35</v>
      </c>
      <c r="M3" t="s">
        <v>36</v>
      </c>
      <c r="N3" t="s">
        <v>37</v>
      </c>
    </row>
    <row r="4" spans="1:14" x14ac:dyDescent="0.25">
      <c r="A4" s="21">
        <v>46023</v>
      </c>
      <c r="B4">
        <v>46023</v>
      </c>
      <c r="C4" t="s">
        <v>90</v>
      </c>
      <c r="D4" t="s">
        <v>38</v>
      </c>
      <c r="E4" t="s">
        <v>39</v>
      </c>
      <c r="F4">
        <v>1000</v>
      </c>
      <c r="G4">
        <v>941</v>
      </c>
      <c r="H4" t="s">
        <v>40</v>
      </c>
      <c r="I4">
        <v>16</v>
      </c>
      <c r="J4" t="s">
        <v>41</v>
      </c>
      <c r="K4" t="s">
        <v>42</v>
      </c>
      <c r="L4" t="s">
        <v>43</v>
      </c>
      <c r="M4">
        <v>0.94099999999999995</v>
      </c>
      <c r="N4">
        <v>1.7003188097768331E-2</v>
      </c>
    </row>
    <row r="5" spans="1:14" x14ac:dyDescent="0.25">
      <c r="A5" s="21">
        <v>46200</v>
      </c>
      <c r="B5">
        <v>46200</v>
      </c>
      <c r="C5" t="s">
        <v>91</v>
      </c>
      <c r="D5" t="s">
        <v>38</v>
      </c>
      <c r="E5" t="s">
        <v>49</v>
      </c>
      <c r="F5">
        <v>1500</v>
      </c>
      <c r="G5">
        <v>1278</v>
      </c>
      <c r="H5" t="s">
        <v>58</v>
      </c>
      <c r="I5">
        <v>29</v>
      </c>
      <c r="J5" t="s">
        <v>59</v>
      </c>
      <c r="K5" t="s">
        <v>63</v>
      </c>
      <c r="L5" t="s">
        <v>48</v>
      </c>
      <c r="M5">
        <v>0.85199999999999998</v>
      </c>
      <c r="N5">
        <v>2.2691705790297341E-2</v>
      </c>
    </row>
    <row r="6" spans="1:14" x14ac:dyDescent="0.25">
      <c r="A6" s="21">
        <v>46025</v>
      </c>
      <c r="B6">
        <v>46025</v>
      </c>
      <c r="C6" t="s">
        <v>92</v>
      </c>
      <c r="D6" t="s">
        <v>38</v>
      </c>
      <c r="E6" t="s">
        <v>39</v>
      </c>
      <c r="F6">
        <v>1000</v>
      </c>
      <c r="G6">
        <v>967</v>
      </c>
      <c r="H6" t="s">
        <v>40</v>
      </c>
      <c r="I6">
        <v>6</v>
      </c>
      <c r="J6" t="s">
        <v>41</v>
      </c>
      <c r="K6" t="s">
        <v>47</v>
      </c>
      <c r="L6" t="s">
        <v>48</v>
      </c>
      <c r="M6">
        <v>0.96699999999999997</v>
      </c>
      <c r="N6">
        <v>6.2047569803516025E-3</v>
      </c>
    </row>
    <row r="7" spans="1:14" x14ac:dyDescent="0.25">
      <c r="A7" s="21">
        <v>46199</v>
      </c>
      <c r="B7">
        <v>46199</v>
      </c>
      <c r="C7" t="s">
        <v>93</v>
      </c>
      <c r="D7" t="s">
        <v>38</v>
      </c>
      <c r="E7" t="s">
        <v>57</v>
      </c>
      <c r="F7">
        <v>1200</v>
      </c>
      <c r="G7">
        <v>989</v>
      </c>
      <c r="H7" t="s">
        <v>50</v>
      </c>
      <c r="I7">
        <v>41</v>
      </c>
      <c r="J7" t="s">
        <v>51</v>
      </c>
      <c r="K7" t="s">
        <v>47</v>
      </c>
      <c r="L7" t="s">
        <v>48</v>
      </c>
      <c r="M7">
        <v>0.82416666666666671</v>
      </c>
      <c r="N7">
        <v>4.1456016177957536E-2</v>
      </c>
    </row>
    <row r="8" spans="1:14" x14ac:dyDescent="0.25">
      <c r="A8" s="21">
        <v>46196</v>
      </c>
      <c r="B8">
        <v>46196</v>
      </c>
      <c r="C8" t="s">
        <v>94</v>
      </c>
      <c r="D8" t="s">
        <v>38</v>
      </c>
      <c r="E8" t="s">
        <v>49</v>
      </c>
      <c r="F8">
        <v>1000</v>
      </c>
      <c r="G8">
        <v>930</v>
      </c>
      <c r="H8" t="s">
        <v>58</v>
      </c>
      <c r="I8">
        <v>27</v>
      </c>
      <c r="J8" t="s">
        <v>59</v>
      </c>
      <c r="K8" t="s">
        <v>52</v>
      </c>
      <c r="L8" t="s">
        <v>43</v>
      </c>
      <c r="M8">
        <v>0.93</v>
      </c>
      <c r="N8">
        <v>2.903225806451613E-2</v>
      </c>
    </row>
    <row r="9" spans="1:14" x14ac:dyDescent="0.25">
      <c r="A9" s="21">
        <v>46028</v>
      </c>
      <c r="B9">
        <v>46028</v>
      </c>
      <c r="C9" t="s">
        <v>95</v>
      </c>
      <c r="D9" t="s">
        <v>38</v>
      </c>
      <c r="E9" t="s">
        <v>39</v>
      </c>
      <c r="F9">
        <v>1200</v>
      </c>
      <c r="G9">
        <v>1071</v>
      </c>
      <c r="H9" t="s">
        <v>54</v>
      </c>
      <c r="I9">
        <v>50</v>
      </c>
      <c r="J9" t="s">
        <v>55</v>
      </c>
      <c r="K9" t="s">
        <v>52</v>
      </c>
      <c r="L9" t="s">
        <v>56</v>
      </c>
      <c r="M9">
        <v>0.89249999999999996</v>
      </c>
      <c r="N9">
        <v>4.6685340802987862E-2</v>
      </c>
    </row>
    <row r="10" spans="1:14" x14ac:dyDescent="0.25">
      <c r="A10" s="21">
        <v>46192</v>
      </c>
      <c r="B10">
        <v>46192</v>
      </c>
      <c r="C10" t="s">
        <v>96</v>
      </c>
      <c r="D10" t="s">
        <v>38</v>
      </c>
      <c r="E10" t="s">
        <v>49</v>
      </c>
      <c r="F10">
        <v>1000</v>
      </c>
      <c r="G10">
        <v>827</v>
      </c>
      <c r="H10" t="s">
        <v>40</v>
      </c>
      <c r="I10">
        <v>52</v>
      </c>
      <c r="J10" t="s">
        <v>41</v>
      </c>
      <c r="K10" t="s">
        <v>63</v>
      </c>
      <c r="L10" t="s">
        <v>48</v>
      </c>
      <c r="M10">
        <v>0.82699999999999996</v>
      </c>
      <c r="N10">
        <v>6.2877871825876661E-2</v>
      </c>
    </row>
    <row r="11" spans="1:14" x14ac:dyDescent="0.25">
      <c r="A11" s="21">
        <v>46187</v>
      </c>
      <c r="B11">
        <v>46187</v>
      </c>
      <c r="C11" t="s">
        <v>97</v>
      </c>
      <c r="D11" t="s">
        <v>38</v>
      </c>
      <c r="E11" t="s">
        <v>39</v>
      </c>
      <c r="F11">
        <v>1000</v>
      </c>
      <c r="G11">
        <v>1009</v>
      </c>
      <c r="H11" t="s">
        <v>45</v>
      </c>
      <c r="I11">
        <v>8</v>
      </c>
      <c r="J11" t="s">
        <v>46</v>
      </c>
      <c r="K11" t="s">
        <v>52</v>
      </c>
      <c r="L11" t="s">
        <v>48</v>
      </c>
      <c r="M11">
        <v>1.0089999999999999</v>
      </c>
      <c r="N11">
        <v>7.9286422200198214E-3</v>
      </c>
    </row>
    <row r="12" spans="1:14" x14ac:dyDescent="0.25">
      <c r="A12" s="21">
        <v>46186</v>
      </c>
      <c r="B12">
        <v>46186</v>
      </c>
      <c r="C12" t="s">
        <v>98</v>
      </c>
      <c r="D12" t="s">
        <v>38</v>
      </c>
      <c r="E12" t="s">
        <v>39</v>
      </c>
      <c r="F12">
        <v>1200</v>
      </c>
      <c r="G12">
        <v>997</v>
      </c>
      <c r="H12" t="s">
        <v>40</v>
      </c>
      <c r="I12">
        <v>11</v>
      </c>
      <c r="J12" t="s">
        <v>41</v>
      </c>
      <c r="K12" t="s">
        <v>47</v>
      </c>
      <c r="L12" t="s">
        <v>43</v>
      </c>
      <c r="M12">
        <v>0.83083333333333331</v>
      </c>
      <c r="N12">
        <v>1.1033099297893681E-2</v>
      </c>
    </row>
    <row r="13" spans="1:14" x14ac:dyDescent="0.25">
      <c r="A13" s="21">
        <v>46175</v>
      </c>
      <c r="B13">
        <v>46175</v>
      </c>
      <c r="C13" t="s">
        <v>99</v>
      </c>
      <c r="D13" t="s">
        <v>38</v>
      </c>
      <c r="E13" t="s">
        <v>49</v>
      </c>
      <c r="F13">
        <v>1500</v>
      </c>
      <c r="G13">
        <v>1245</v>
      </c>
      <c r="H13" t="s">
        <v>40</v>
      </c>
      <c r="I13">
        <v>18</v>
      </c>
      <c r="J13" t="s">
        <v>41</v>
      </c>
      <c r="K13" t="s">
        <v>42</v>
      </c>
      <c r="L13" t="s">
        <v>48</v>
      </c>
      <c r="M13">
        <v>0.83</v>
      </c>
      <c r="N13">
        <v>1.4457831325301205E-2</v>
      </c>
    </row>
    <row r="14" spans="1:14" x14ac:dyDescent="0.25">
      <c r="A14" s="21">
        <v>46033</v>
      </c>
      <c r="B14">
        <v>46033</v>
      </c>
      <c r="C14" t="s">
        <v>100</v>
      </c>
      <c r="D14" t="s">
        <v>38</v>
      </c>
      <c r="E14" t="s">
        <v>49</v>
      </c>
      <c r="F14">
        <v>1200</v>
      </c>
      <c r="G14">
        <v>1085</v>
      </c>
      <c r="H14" t="s">
        <v>61</v>
      </c>
      <c r="I14">
        <v>35</v>
      </c>
      <c r="J14" t="s">
        <v>62</v>
      </c>
      <c r="K14" t="s">
        <v>63</v>
      </c>
      <c r="L14" t="s">
        <v>48</v>
      </c>
      <c r="M14">
        <v>0.90416666666666667</v>
      </c>
      <c r="N14">
        <v>3.2258064516129031E-2</v>
      </c>
    </row>
    <row r="15" spans="1:14" x14ac:dyDescent="0.25">
      <c r="A15" s="21">
        <v>46167</v>
      </c>
      <c r="B15">
        <v>46167</v>
      </c>
      <c r="C15" t="s">
        <v>101</v>
      </c>
      <c r="D15" t="s">
        <v>38</v>
      </c>
      <c r="E15" t="s">
        <v>57</v>
      </c>
      <c r="F15">
        <v>1500</v>
      </c>
      <c r="G15">
        <v>1453</v>
      </c>
      <c r="H15" t="s">
        <v>58</v>
      </c>
      <c r="I15">
        <v>26</v>
      </c>
      <c r="J15" t="s">
        <v>59</v>
      </c>
      <c r="K15" t="s">
        <v>63</v>
      </c>
      <c r="L15" t="s">
        <v>43</v>
      </c>
      <c r="M15">
        <v>0.96866666666666668</v>
      </c>
      <c r="N15">
        <v>1.7894012388162423E-2</v>
      </c>
    </row>
    <row r="16" spans="1:14" x14ac:dyDescent="0.25">
      <c r="A16" s="21">
        <v>46035</v>
      </c>
      <c r="B16">
        <v>46035</v>
      </c>
      <c r="C16" t="s">
        <v>98</v>
      </c>
      <c r="D16" t="s">
        <v>38</v>
      </c>
      <c r="E16" t="s">
        <v>39</v>
      </c>
      <c r="F16">
        <v>1000</v>
      </c>
      <c r="G16">
        <v>1012</v>
      </c>
      <c r="H16" t="s">
        <v>40</v>
      </c>
      <c r="I16">
        <v>5</v>
      </c>
      <c r="J16" t="s">
        <v>41</v>
      </c>
      <c r="K16" t="s">
        <v>47</v>
      </c>
      <c r="L16" t="s">
        <v>56</v>
      </c>
      <c r="M16">
        <v>1.012</v>
      </c>
      <c r="N16">
        <v>4.940711462450593E-3</v>
      </c>
    </row>
    <row r="17" spans="1:14" x14ac:dyDescent="0.25">
      <c r="A17" s="21">
        <v>46162</v>
      </c>
      <c r="B17">
        <v>46162</v>
      </c>
      <c r="C17" t="s">
        <v>102</v>
      </c>
      <c r="D17" t="s">
        <v>38</v>
      </c>
      <c r="E17" t="s">
        <v>49</v>
      </c>
      <c r="F17">
        <v>1200</v>
      </c>
      <c r="G17">
        <v>1194</v>
      </c>
      <c r="H17" t="s">
        <v>40</v>
      </c>
      <c r="I17">
        <v>10</v>
      </c>
      <c r="J17" t="s">
        <v>41</v>
      </c>
      <c r="K17" t="s">
        <v>52</v>
      </c>
      <c r="L17" t="s">
        <v>48</v>
      </c>
      <c r="M17">
        <v>0.995</v>
      </c>
      <c r="N17">
        <v>8.3752093802345051E-3</v>
      </c>
    </row>
    <row r="18" spans="1:14" x14ac:dyDescent="0.25">
      <c r="A18" s="21">
        <v>46037</v>
      </c>
      <c r="B18">
        <v>46037</v>
      </c>
      <c r="C18" t="s">
        <v>103</v>
      </c>
      <c r="D18" t="s">
        <v>38</v>
      </c>
      <c r="E18" t="s">
        <v>39</v>
      </c>
      <c r="F18">
        <v>1200</v>
      </c>
      <c r="G18">
        <v>989</v>
      </c>
      <c r="H18" t="s">
        <v>54</v>
      </c>
      <c r="I18">
        <v>14</v>
      </c>
      <c r="J18" t="s">
        <v>55</v>
      </c>
      <c r="K18" t="s">
        <v>52</v>
      </c>
      <c r="L18" t="s">
        <v>48</v>
      </c>
      <c r="M18">
        <v>0.82416666666666671</v>
      </c>
      <c r="N18">
        <v>1.4155712841253791E-2</v>
      </c>
    </row>
    <row r="19" spans="1:14" x14ac:dyDescent="0.25">
      <c r="A19" s="21">
        <v>46159</v>
      </c>
      <c r="B19">
        <v>46159</v>
      </c>
      <c r="C19" t="s">
        <v>104</v>
      </c>
      <c r="D19" t="s">
        <v>38</v>
      </c>
      <c r="E19" t="s">
        <v>57</v>
      </c>
      <c r="F19">
        <v>1500</v>
      </c>
      <c r="G19">
        <v>1355</v>
      </c>
      <c r="H19" t="s">
        <v>50</v>
      </c>
      <c r="I19">
        <v>10</v>
      </c>
      <c r="J19" t="s">
        <v>51</v>
      </c>
      <c r="K19" t="s">
        <v>47</v>
      </c>
      <c r="L19" t="s">
        <v>48</v>
      </c>
      <c r="M19">
        <v>0.90333333333333332</v>
      </c>
      <c r="N19">
        <v>7.3800738007380072E-3</v>
      </c>
    </row>
    <row r="20" spans="1:14" x14ac:dyDescent="0.25">
      <c r="A20" s="21">
        <v>46157</v>
      </c>
      <c r="B20">
        <v>46157</v>
      </c>
      <c r="C20" t="s">
        <v>103</v>
      </c>
      <c r="D20" t="s">
        <v>38</v>
      </c>
      <c r="E20" t="s">
        <v>39</v>
      </c>
      <c r="F20">
        <v>1000</v>
      </c>
      <c r="G20">
        <v>956</v>
      </c>
      <c r="H20" t="s">
        <v>40</v>
      </c>
      <c r="I20">
        <v>44</v>
      </c>
      <c r="J20" t="s">
        <v>41</v>
      </c>
      <c r="K20" t="s">
        <v>63</v>
      </c>
      <c r="L20" t="s">
        <v>43</v>
      </c>
      <c r="M20">
        <v>0.95599999999999996</v>
      </c>
      <c r="N20">
        <v>4.6025104602510462E-2</v>
      </c>
    </row>
    <row r="21" spans="1:14" x14ac:dyDescent="0.25">
      <c r="A21" s="21">
        <v>46040</v>
      </c>
      <c r="B21">
        <v>46040</v>
      </c>
      <c r="C21" t="s">
        <v>105</v>
      </c>
      <c r="D21" t="s">
        <v>38</v>
      </c>
      <c r="E21" t="s">
        <v>39</v>
      </c>
      <c r="F21">
        <v>1500</v>
      </c>
      <c r="G21">
        <v>1347</v>
      </c>
      <c r="H21" t="s">
        <v>54</v>
      </c>
      <c r="I21">
        <v>22</v>
      </c>
      <c r="J21" t="s">
        <v>55</v>
      </c>
      <c r="K21" t="s">
        <v>42</v>
      </c>
      <c r="L21" t="s">
        <v>48</v>
      </c>
      <c r="M21">
        <v>0.89800000000000002</v>
      </c>
      <c r="N21">
        <v>1.6332590942835932E-2</v>
      </c>
    </row>
    <row r="22" spans="1:14" x14ac:dyDescent="0.25">
      <c r="A22" s="21">
        <v>46156</v>
      </c>
      <c r="B22">
        <v>46156</v>
      </c>
      <c r="C22" t="s">
        <v>97</v>
      </c>
      <c r="D22" t="s">
        <v>38</v>
      </c>
      <c r="E22" t="s">
        <v>57</v>
      </c>
      <c r="F22">
        <v>1000</v>
      </c>
      <c r="G22">
        <v>936</v>
      </c>
      <c r="H22" t="s">
        <v>50</v>
      </c>
      <c r="I22">
        <v>32</v>
      </c>
      <c r="J22" t="s">
        <v>51</v>
      </c>
      <c r="K22" t="s">
        <v>63</v>
      </c>
      <c r="L22" t="s">
        <v>48</v>
      </c>
      <c r="M22">
        <v>0.93600000000000005</v>
      </c>
      <c r="N22">
        <v>3.4188034188034191E-2</v>
      </c>
    </row>
    <row r="23" spans="1:14" x14ac:dyDescent="0.25">
      <c r="A23" s="21">
        <v>46155</v>
      </c>
      <c r="B23">
        <v>46155</v>
      </c>
      <c r="C23" t="s">
        <v>98</v>
      </c>
      <c r="D23" t="s">
        <v>38</v>
      </c>
      <c r="E23" t="s">
        <v>49</v>
      </c>
      <c r="F23">
        <v>1200</v>
      </c>
      <c r="G23">
        <v>1052</v>
      </c>
      <c r="H23" t="s">
        <v>58</v>
      </c>
      <c r="I23">
        <v>46</v>
      </c>
      <c r="J23" t="s">
        <v>59</v>
      </c>
      <c r="K23" t="s">
        <v>63</v>
      </c>
      <c r="L23" t="s">
        <v>48</v>
      </c>
      <c r="M23">
        <v>0.87666666666666671</v>
      </c>
      <c r="N23">
        <v>4.3726235741444866E-2</v>
      </c>
    </row>
    <row r="24" spans="1:14" x14ac:dyDescent="0.25">
      <c r="A24" s="21">
        <v>46154</v>
      </c>
      <c r="B24">
        <v>46154</v>
      </c>
      <c r="C24" t="s">
        <v>106</v>
      </c>
      <c r="D24" t="s">
        <v>38</v>
      </c>
      <c r="E24" t="s">
        <v>57</v>
      </c>
      <c r="F24">
        <v>1000</v>
      </c>
      <c r="G24">
        <v>934</v>
      </c>
      <c r="H24" t="s">
        <v>58</v>
      </c>
      <c r="I24">
        <v>26</v>
      </c>
      <c r="J24" t="s">
        <v>59</v>
      </c>
      <c r="K24" t="s">
        <v>52</v>
      </c>
      <c r="L24" t="s">
        <v>43</v>
      </c>
      <c r="M24">
        <v>0.93400000000000005</v>
      </c>
      <c r="N24">
        <v>2.7837259100642397E-2</v>
      </c>
    </row>
    <row r="25" spans="1:14" x14ac:dyDescent="0.25">
      <c r="A25" s="21">
        <v>46153</v>
      </c>
      <c r="B25">
        <v>46153</v>
      </c>
      <c r="C25" t="s">
        <v>100</v>
      </c>
      <c r="D25" t="s">
        <v>38</v>
      </c>
      <c r="E25" t="s">
        <v>57</v>
      </c>
      <c r="F25">
        <v>1000</v>
      </c>
      <c r="G25">
        <v>867</v>
      </c>
      <c r="H25" t="s">
        <v>58</v>
      </c>
      <c r="I25">
        <v>39</v>
      </c>
      <c r="J25" t="s">
        <v>59</v>
      </c>
      <c r="K25" t="s">
        <v>52</v>
      </c>
      <c r="L25" t="s">
        <v>48</v>
      </c>
      <c r="M25">
        <v>0.86699999999999999</v>
      </c>
      <c r="N25">
        <v>4.4982698961937718E-2</v>
      </c>
    </row>
    <row r="26" spans="1:14" x14ac:dyDescent="0.25">
      <c r="A26" s="21">
        <v>46138</v>
      </c>
      <c r="B26">
        <v>46138</v>
      </c>
      <c r="C26" t="s">
        <v>93</v>
      </c>
      <c r="D26" t="s">
        <v>38</v>
      </c>
      <c r="E26" t="s">
        <v>39</v>
      </c>
      <c r="F26">
        <v>1000</v>
      </c>
      <c r="G26">
        <v>1010</v>
      </c>
      <c r="H26" t="s">
        <v>50</v>
      </c>
      <c r="I26">
        <v>5</v>
      </c>
      <c r="J26" t="s">
        <v>51</v>
      </c>
      <c r="K26" t="s">
        <v>42</v>
      </c>
      <c r="L26" t="s">
        <v>43</v>
      </c>
      <c r="M26">
        <v>1.01</v>
      </c>
      <c r="N26">
        <v>4.9504950495049506E-3</v>
      </c>
    </row>
    <row r="27" spans="1:14" x14ac:dyDescent="0.25">
      <c r="A27" s="21">
        <v>46126</v>
      </c>
      <c r="B27">
        <v>46126</v>
      </c>
      <c r="C27" t="s">
        <v>97</v>
      </c>
      <c r="D27" t="s">
        <v>38</v>
      </c>
      <c r="E27" t="s">
        <v>57</v>
      </c>
      <c r="F27">
        <v>1200</v>
      </c>
      <c r="G27">
        <v>1208</v>
      </c>
      <c r="H27" t="s">
        <v>50</v>
      </c>
      <c r="I27">
        <v>15</v>
      </c>
      <c r="J27" t="s">
        <v>51</v>
      </c>
      <c r="K27" t="s">
        <v>47</v>
      </c>
      <c r="L27" t="s">
        <v>48</v>
      </c>
      <c r="M27">
        <v>1.0066666666666666</v>
      </c>
      <c r="N27">
        <v>1.2417218543046357E-2</v>
      </c>
    </row>
    <row r="28" spans="1:14" x14ac:dyDescent="0.25">
      <c r="A28" s="21">
        <v>46122</v>
      </c>
      <c r="B28">
        <v>46122</v>
      </c>
      <c r="C28" t="s">
        <v>107</v>
      </c>
      <c r="D28" t="s">
        <v>38</v>
      </c>
      <c r="E28" t="s">
        <v>49</v>
      </c>
      <c r="F28">
        <v>1200</v>
      </c>
      <c r="G28">
        <v>1140</v>
      </c>
      <c r="H28" t="s">
        <v>40</v>
      </c>
      <c r="I28">
        <v>31</v>
      </c>
      <c r="J28" t="s">
        <v>41</v>
      </c>
      <c r="K28" t="s">
        <v>52</v>
      </c>
      <c r="L28" t="s">
        <v>48</v>
      </c>
      <c r="M28">
        <v>0.95</v>
      </c>
      <c r="N28">
        <v>2.7192982456140352E-2</v>
      </c>
    </row>
    <row r="29" spans="1:14" x14ac:dyDescent="0.25">
      <c r="A29" s="21">
        <v>46121</v>
      </c>
      <c r="B29">
        <v>46121</v>
      </c>
      <c r="C29" t="s">
        <v>108</v>
      </c>
      <c r="D29" t="s">
        <v>38</v>
      </c>
      <c r="E29" t="s">
        <v>57</v>
      </c>
      <c r="F29">
        <v>1000</v>
      </c>
      <c r="G29">
        <v>1018</v>
      </c>
      <c r="H29" t="s">
        <v>61</v>
      </c>
      <c r="I29">
        <v>17</v>
      </c>
      <c r="J29" t="s">
        <v>62</v>
      </c>
      <c r="K29" t="s">
        <v>47</v>
      </c>
      <c r="L29" t="s">
        <v>43</v>
      </c>
      <c r="M29">
        <v>1.018</v>
      </c>
      <c r="N29">
        <v>1.6699410609037329E-2</v>
      </c>
    </row>
    <row r="30" spans="1:14" x14ac:dyDescent="0.25">
      <c r="A30" s="21">
        <v>46049</v>
      </c>
      <c r="B30">
        <v>46049</v>
      </c>
      <c r="C30" t="s">
        <v>91</v>
      </c>
      <c r="D30" t="s">
        <v>38</v>
      </c>
      <c r="E30" t="s">
        <v>57</v>
      </c>
      <c r="F30">
        <v>1000</v>
      </c>
      <c r="G30">
        <v>865</v>
      </c>
      <c r="H30" t="s">
        <v>61</v>
      </c>
      <c r="I30">
        <v>7</v>
      </c>
      <c r="J30" t="s">
        <v>62</v>
      </c>
      <c r="K30" t="s">
        <v>47</v>
      </c>
      <c r="L30" t="s">
        <v>48</v>
      </c>
      <c r="M30">
        <v>0.86499999999999999</v>
      </c>
      <c r="N30">
        <v>8.0924855491329474E-3</v>
      </c>
    </row>
    <row r="31" spans="1:14" x14ac:dyDescent="0.25">
      <c r="A31" s="21">
        <v>46114</v>
      </c>
      <c r="B31">
        <v>46114</v>
      </c>
      <c r="C31" t="s">
        <v>99</v>
      </c>
      <c r="D31" t="s">
        <v>38</v>
      </c>
      <c r="E31" t="s">
        <v>49</v>
      </c>
      <c r="F31">
        <v>1500</v>
      </c>
      <c r="G31">
        <v>1254</v>
      </c>
      <c r="H31" t="s">
        <v>40</v>
      </c>
      <c r="I31">
        <v>42</v>
      </c>
      <c r="J31" t="s">
        <v>41</v>
      </c>
      <c r="K31" t="s">
        <v>63</v>
      </c>
      <c r="L31" t="s">
        <v>48</v>
      </c>
      <c r="M31">
        <v>0.83599999999999997</v>
      </c>
      <c r="N31">
        <v>3.3492822966507178E-2</v>
      </c>
    </row>
    <row r="32" spans="1:14" x14ac:dyDescent="0.25">
      <c r="A32" s="21">
        <v>46108</v>
      </c>
      <c r="B32">
        <v>46108</v>
      </c>
      <c r="C32" t="s">
        <v>91</v>
      </c>
      <c r="D32" t="s">
        <v>38</v>
      </c>
      <c r="E32" t="s">
        <v>39</v>
      </c>
      <c r="F32">
        <v>1000</v>
      </c>
      <c r="G32">
        <v>820</v>
      </c>
      <c r="H32" t="s">
        <v>40</v>
      </c>
      <c r="I32">
        <v>37</v>
      </c>
      <c r="J32" t="s">
        <v>41</v>
      </c>
      <c r="K32" t="s">
        <v>63</v>
      </c>
      <c r="L32" t="s">
        <v>56</v>
      </c>
      <c r="M32">
        <v>0.82</v>
      </c>
      <c r="N32">
        <v>4.5121951219512194E-2</v>
      </c>
    </row>
    <row r="33" spans="1:14" x14ac:dyDescent="0.25">
      <c r="A33" s="21">
        <v>46107</v>
      </c>
      <c r="B33">
        <v>46107</v>
      </c>
      <c r="C33" t="s">
        <v>93</v>
      </c>
      <c r="D33" t="s">
        <v>38</v>
      </c>
      <c r="E33" t="s">
        <v>39</v>
      </c>
      <c r="F33">
        <v>1000</v>
      </c>
      <c r="G33">
        <v>869</v>
      </c>
      <c r="H33" t="s">
        <v>40</v>
      </c>
      <c r="I33">
        <v>42</v>
      </c>
      <c r="J33" t="s">
        <v>41</v>
      </c>
      <c r="K33" t="s">
        <v>52</v>
      </c>
      <c r="L33" t="s">
        <v>56</v>
      </c>
      <c r="M33">
        <v>0.86899999999999999</v>
      </c>
      <c r="N33">
        <v>4.8331415420023012E-2</v>
      </c>
    </row>
    <row r="34" spans="1:14" x14ac:dyDescent="0.25">
      <c r="A34" s="21">
        <v>46104</v>
      </c>
      <c r="B34">
        <v>46104</v>
      </c>
      <c r="C34" t="s">
        <v>94</v>
      </c>
      <c r="D34" t="s">
        <v>38</v>
      </c>
      <c r="E34" t="s">
        <v>39</v>
      </c>
      <c r="F34">
        <v>1000</v>
      </c>
      <c r="G34">
        <v>1005</v>
      </c>
      <c r="H34" t="s">
        <v>40</v>
      </c>
      <c r="I34">
        <v>41</v>
      </c>
      <c r="J34" t="s">
        <v>41</v>
      </c>
      <c r="K34" t="s">
        <v>42</v>
      </c>
      <c r="L34" t="s">
        <v>48</v>
      </c>
      <c r="M34">
        <v>1.0049999999999999</v>
      </c>
      <c r="N34">
        <v>4.0796019900497513E-2</v>
      </c>
    </row>
    <row r="35" spans="1:14" x14ac:dyDescent="0.25">
      <c r="A35" s="21">
        <v>46102</v>
      </c>
      <c r="B35">
        <v>46102</v>
      </c>
      <c r="C35" t="s">
        <v>109</v>
      </c>
      <c r="D35" t="s">
        <v>38</v>
      </c>
      <c r="E35" t="s">
        <v>57</v>
      </c>
      <c r="F35">
        <v>1500</v>
      </c>
      <c r="G35">
        <v>1366</v>
      </c>
      <c r="H35" t="s">
        <v>40</v>
      </c>
      <c r="I35">
        <v>27</v>
      </c>
      <c r="J35" t="s">
        <v>41</v>
      </c>
      <c r="K35" t="s">
        <v>52</v>
      </c>
      <c r="L35" t="s">
        <v>48</v>
      </c>
      <c r="M35">
        <v>0.91066666666666662</v>
      </c>
      <c r="N35">
        <v>1.9765739385065886E-2</v>
      </c>
    </row>
    <row r="36" spans="1:14" x14ac:dyDescent="0.25">
      <c r="A36" s="21">
        <v>46055</v>
      </c>
      <c r="B36">
        <v>46055</v>
      </c>
      <c r="C36" t="s">
        <v>99</v>
      </c>
      <c r="D36" t="s">
        <v>38</v>
      </c>
      <c r="E36" t="s">
        <v>49</v>
      </c>
      <c r="F36">
        <v>1000</v>
      </c>
      <c r="G36">
        <v>942</v>
      </c>
      <c r="H36" t="s">
        <v>40</v>
      </c>
      <c r="I36">
        <v>41</v>
      </c>
      <c r="J36" t="s">
        <v>41</v>
      </c>
      <c r="K36" t="s">
        <v>63</v>
      </c>
      <c r="L36" t="s">
        <v>48</v>
      </c>
      <c r="M36">
        <v>0.94199999999999995</v>
      </c>
      <c r="N36">
        <v>4.3524416135881101E-2</v>
      </c>
    </row>
    <row r="37" spans="1:14" x14ac:dyDescent="0.25">
      <c r="A37" s="21">
        <v>46091</v>
      </c>
      <c r="B37">
        <v>46091</v>
      </c>
      <c r="C37" t="s">
        <v>107</v>
      </c>
      <c r="D37" t="s">
        <v>38</v>
      </c>
      <c r="E37" t="s">
        <v>39</v>
      </c>
      <c r="F37">
        <v>1500</v>
      </c>
      <c r="G37">
        <v>1287</v>
      </c>
      <c r="H37" t="s">
        <v>58</v>
      </c>
      <c r="I37">
        <v>7</v>
      </c>
      <c r="J37" t="s">
        <v>59</v>
      </c>
      <c r="K37" t="s">
        <v>63</v>
      </c>
      <c r="L37" t="s">
        <v>48</v>
      </c>
      <c r="M37">
        <v>0.85799999999999998</v>
      </c>
      <c r="N37">
        <v>5.439005439005439E-3</v>
      </c>
    </row>
    <row r="38" spans="1:14" x14ac:dyDescent="0.25">
      <c r="A38" s="21">
        <v>46057</v>
      </c>
      <c r="B38">
        <v>46057</v>
      </c>
      <c r="C38" t="s">
        <v>110</v>
      </c>
      <c r="D38" t="s">
        <v>38</v>
      </c>
      <c r="E38" t="s">
        <v>39</v>
      </c>
      <c r="F38">
        <v>1200</v>
      </c>
      <c r="G38">
        <v>1197</v>
      </c>
      <c r="H38" t="s">
        <v>40</v>
      </c>
      <c r="I38">
        <v>32</v>
      </c>
      <c r="J38" t="s">
        <v>41</v>
      </c>
      <c r="K38" t="s">
        <v>63</v>
      </c>
      <c r="L38" t="s">
        <v>48</v>
      </c>
      <c r="M38">
        <v>0.99750000000000005</v>
      </c>
      <c r="N38">
        <v>2.6733500417710943E-2</v>
      </c>
    </row>
    <row r="39" spans="1:14" x14ac:dyDescent="0.25">
      <c r="A39" s="21">
        <v>46058</v>
      </c>
      <c r="B39">
        <v>46058</v>
      </c>
      <c r="C39" t="s">
        <v>111</v>
      </c>
      <c r="D39" t="s">
        <v>38</v>
      </c>
      <c r="E39" t="s">
        <v>49</v>
      </c>
      <c r="F39">
        <v>1200</v>
      </c>
      <c r="G39">
        <v>1211</v>
      </c>
      <c r="H39" t="s">
        <v>45</v>
      </c>
      <c r="I39">
        <v>13</v>
      </c>
      <c r="J39" t="s">
        <v>46</v>
      </c>
      <c r="K39" t="s">
        <v>63</v>
      </c>
      <c r="L39" t="s">
        <v>48</v>
      </c>
      <c r="M39">
        <v>1.0091666666666668</v>
      </c>
      <c r="N39">
        <v>1.0734929810074319E-2</v>
      </c>
    </row>
    <row r="40" spans="1:14" x14ac:dyDescent="0.25">
      <c r="A40" s="21">
        <v>46059</v>
      </c>
      <c r="B40">
        <v>46059</v>
      </c>
      <c r="C40" t="s">
        <v>95</v>
      </c>
      <c r="D40" t="s">
        <v>38</v>
      </c>
      <c r="E40" t="s">
        <v>39</v>
      </c>
      <c r="F40">
        <v>1200</v>
      </c>
      <c r="G40">
        <v>985</v>
      </c>
      <c r="H40" t="s">
        <v>58</v>
      </c>
      <c r="I40">
        <v>40</v>
      </c>
      <c r="J40" t="s">
        <v>59</v>
      </c>
      <c r="K40" t="s">
        <v>47</v>
      </c>
      <c r="L40" t="s">
        <v>48</v>
      </c>
      <c r="M40">
        <v>0.8208333333333333</v>
      </c>
      <c r="N40">
        <v>4.060913705583756E-2</v>
      </c>
    </row>
    <row r="41" spans="1:14" x14ac:dyDescent="0.25">
      <c r="A41" s="21">
        <v>46089</v>
      </c>
      <c r="B41">
        <v>46089</v>
      </c>
      <c r="C41" t="s">
        <v>112</v>
      </c>
      <c r="D41" t="s">
        <v>38</v>
      </c>
      <c r="E41" t="s">
        <v>49</v>
      </c>
      <c r="F41">
        <v>1000</v>
      </c>
      <c r="G41">
        <v>834</v>
      </c>
      <c r="H41" t="s">
        <v>45</v>
      </c>
      <c r="I41">
        <v>36</v>
      </c>
      <c r="J41" t="s">
        <v>46</v>
      </c>
      <c r="K41" t="s">
        <v>42</v>
      </c>
      <c r="L41" t="s">
        <v>48</v>
      </c>
      <c r="M41">
        <v>0.83399999999999996</v>
      </c>
      <c r="N41">
        <v>4.3165467625899283E-2</v>
      </c>
    </row>
    <row r="42" spans="1:14" x14ac:dyDescent="0.25">
      <c r="A42" s="21">
        <v>46061</v>
      </c>
      <c r="B42">
        <v>46061</v>
      </c>
      <c r="C42" t="s">
        <v>112</v>
      </c>
      <c r="D42" t="s">
        <v>38</v>
      </c>
      <c r="E42" t="s">
        <v>49</v>
      </c>
      <c r="F42">
        <v>1500</v>
      </c>
      <c r="G42">
        <v>1304</v>
      </c>
      <c r="H42" t="s">
        <v>40</v>
      </c>
      <c r="I42">
        <v>53</v>
      </c>
      <c r="J42" t="s">
        <v>41</v>
      </c>
      <c r="K42" t="s">
        <v>63</v>
      </c>
      <c r="L42" t="s">
        <v>48</v>
      </c>
      <c r="M42">
        <v>0.86933333333333329</v>
      </c>
      <c r="N42">
        <v>4.0644171779141106E-2</v>
      </c>
    </row>
    <row r="43" spans="1:14" x14ac:dyDescent="0.25">
      <c r="A43" s="21">
        <v>46088</v>
      </c>
      <c r="B43">
        <v>46088</v>
      </c>
      <c r="C43" t="s">
        <v>113</v>
      </c>
      <c r="D43" t="s">
        <v>38</v>
      </c>
      <c r="E43" t="s">
        <v>57</v>
      </c>
      <c r="F43">
        <v>1200</v>
      </c>
      <c r="G43">
        <v>1113</v>
      </c>
      <c r="H43" t="s">
        <v>50</v>
      </c>
      <c r="I43">
        <v>29</v>
      </c>
      <c r="J43" t="s">
        <v>51</v>
      </c>
      <c r="K43" t="s">
        <v>52</v>
      </c>
      <c r="L43" t="s">
        <v>48</v>
      </c>
      <c r="M43">
        <v>0.92749999999999999</v>
      </c>
      <c r="N43">
        <v>2.605570530098832E-2</v>
      </c>
    </row>
    <row r="44" spans="1:14" x14ac:dyDescent="0.25">
      <c r="A44" s="21">
        <v>46087</v>
      </c>
      <c r="B44">
        <v>46087</v>
      </c>
      <c r="C44" t="s">
        <v>95</v>
      </c>
      <c r="D44" t="s">
        <v>38</v>
      </c>
      <c r="E44" t="s">
        <v>57</v>
      </c>
      <c r="F44">
        <v>1500</v>
      </c>
      <c r="G44">
        <v>1296</v>
      </c>
      <c r="H44" t="s">
        <v>58</v>
      </c>
      <c r="I44">
        <v>52</v>
      </c>
      <c r="J44" t="s">
        <v>59</v>
      </c>
      <c r="K44" t="s">
        <v>52</v>
      </c>
      <c r="L44" t="s">
        <v>43</v>
      </c>
      <c r="M44">
        <v>0.86399999999999999</v>
      </c>
      <c r="N44">
        <v>4.0123456790123455E-2</v>
      </c>
    </row>
    <row r="45" spans="1:14" x14ac:dyDescent="0.25">
      <c r="A45" s="21">
        <v>46086</v>
      </c>
      <c r="B45">
        <v>46086</v>
      </c>
      <c r="C45" t="s">
        <v>111</v>
      </c>
      <c r="D45" t="s">
        <v>38</v>
      </c>
      <c r="E45" t="s">
        <v>39</v>
      </c>
      <c r="F45">
        <v>1000</v>
      </c>
      <c r="G45">
        <v>1001</v>
      </c>
      <c r="H45" t="s">
        <v>50</v>
      </c>
      <c r="I45">
        <v>44</v>
      </c>
      <c r="J45" t="s">
        <v>51</v>
      </c>
      <c r="K45" t="s">
        <v>63</v>
      </c>
      <c r="L45" t="s">
        <v>48</v>
      </c>
      <c r="M45">
        <v>1.0009999999999999</v>
      </c>
      <c r="N45">
        <v>4.3956043956043959E-2</v>
      </c>
    </row>
    <row r="46" spans="1:14" x14ac:dyDescent="0.25">
      <c r="A46" s="21">
        <v>46085</v>
      </c>
      <c r="B46">
        <v>46085</v>
      </c>
      <c r="C46" t="s">
        <v>110</v>
      </c>
      <c r="D46" t="s">
        <v>38</v>
      </c>
      <c r="E46" t="s">
        <v>49</v>
      </c>
      <c r="F46">
        <v>1000</v>
      </c>
      <c r="G46">
        <v>846</v>
      </c>
      <c r="H46" t="s">
        <v>61</v>
      </c>
      <c r="I46">
        <v>44</v>
      </c>
      <c r="J46" t="s">
        <v>62</v>
      </c>
      <c r="K46" t="s">
        <v>47</v>
      </c>
      <c r="L46" t="s">
        <v>48</v>
      </c>
      <c r="M46">
        <v>0.84599999999999997</v>
      </c>
      <c r="N46">
        <v>5.2009456264775412E-2</v>
      </c>
    </row>
    <row r="47" spans="1:14" x14ac:dyDescent="0.25">
      <c r="A47" s="21">
        <v>46072</v>
      </c>
      <c r="B47">
        <v>46072</v>
      </c>
      <c r="C47" t="s">
        <v>96</v>
      </c>
      <c r="D47" t="s">
        <v>38</v>
      </c>
      <c r="E47" t="s">
        <v>57</v>
      </c>
      <c r="F47">
        <v>1200</v>
      </c>
      <c r="G47">
        <v>1022</v>
      </c>
      <c r="H47" t="s">
        <v>58</v>
      </c>
      <c r="I47">
        <v>52</v>
      </c>
      <c r="J47" t="s">
        <v>59</v>
      </c>
      <c r="K47" t="s">
        <v>42</v>
      </c>
      <c r="L47" t="s">
        <v>48</v>
      </c>
      <c r="M47">
        <v>0.85166666666666668</v>
      </c>
      <c r="N47">
        <v>5.0880626223091974E-2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D9126-5103-4BCB-91EA-A25EB3E3FDAD}">
  <dimension ref="A1:S55"/>
  <sheetViews>
    <sheetView topLeftCell="B1" zoomScale="59" zoomScaleNormal="59" workbookViewId="0">
      <selection activeCell="K6" sqref="K6"/>
    </sheetView>
  </sheetViews>
  <sheetFormatPr defaultRowHeight="15" x14ac:dyDescent="0.25"/>
  <cols>
    <col min="1" max="1" width="15.85546875" bestFit="1" customWidth="1"/>
    <col min="2" max="2" width="28" bestFit="1" customWidth="1"/>
    <col min="3" max="3" width="18.5703125" bestFit="1" customWidth="1"/>
    <col min="4" max="4" width="15.5703125" bestFit="1" customWidth="1"/>
    <col min="5" max="5" width="25.85546875" bestFit="1" customWidth="1"/>
    <col min="6" max="6" width="19.7109375" bestFit="1" customWidth="1"/>
    <col min="7" max="7" width="26.5703125" bestFit="1" customWidth="1"/>
    <col min="8" max="8" width="25.140625" bestFit="1" customWidth="1"/>
    <col min="9" max="9" width="19.7109375" bestFit="1" customWidth="1"/>
    <col min="10" max="10" width="58" bestFit="1" customWidth="1"/>
    <col min="11" max="11" width="21" bestFit="1" customWidth="1"/>
    <col min="12" max="12" width="13.28515625" bestFit="1" customWidth="1"/>
    <col min="13" max="13" width="19.7109375" bestFit="1" customWidth="1"/>
    <col min="14" max="14" width="22.42578125" bestFit="1" customWidth="1"/>
    <col min="15" max="15" width="19.7109375" bestFit="1" customWidth="1"/>
    <col min="16" max="16" width="15.85546875" bestFit="1" customWidth="1"/>
    <col min="17" max="17" width="28" bestFit="1" customWidth="1"/>
    <col min="18" max="18" width="25.140625" bestFit="1" customWidth="1"/>
    <col min="19" max="19" width="22" bestFit="1" customWidth="1"/>
  </cols>
  <sheetData>
    <row r="1" spans="1:19" x14ac:dyDescent="0.25">
      <c r="A1" s="15" t="s">
        <v>64</v>
      </c>
      <c r="B1" t="s">
        <v>73</v>
      </c>
      <c r="C1" t="s">
        <v>74</v>
      </c>
      <c r="D1" t="s">
        <v>80</v>
      </c>
      <c r="P1" s="15" t="s">
        <v>64</v>
      </c>
      <c r="Q1" t="s">
        <v>66</v>
      </c>
      <c r="R1" t="s">
        <v>75</v>
      </c>
      <c r="S1" t="s">
        <v>84</v>
      </c>
    </row>
    <row r="2" spans="1:19" x14ac:dyDescent="0.25">
      <c r="A2" s="16" t="s">
        <v>38</v>
      </c>
      <c r="B2" s="18">
        <v>51800</v>
      </c>
      <c r="C2" s="18">
        <v>47027</v>
      </c>
      <c r="D2" s="19">
        <v>0.90785714285714281</v>
      </c>
      <c r="P2" s="16" t="s">
        <v>57</v>
      </c>
      <c r="Q2" s="18">
        <v>70177</v>
      </c>
      <c r="R2" s="18">
        <v>1807</v>
      </c>
      <c r="S2" s="20">
        <v>2.5749177080809951E-2</v>
      </c>
    </row>
    <row r="3" spans="1:19" x14ac:dyDescent="0.25">
      <c r="A3" s="17" t="s">
        <v>57</v>
      </c>
      <c r="B3" s="18">
        <v>15800</v>
      </c>
      <c r="C3" s="18">
        <v>14422</v>
      </c>
      <c r="D3" s="19">
        <v>0.9127848101265823</v>
      </c>
      <c r="J3" s="15" t="s">
        <v>86</v>
      </c>
      <c r="P3" s="16" t="s">
        <v>39</v>
      </c>
      <c r="Q3" s="18">
        <v>73055</v>
      </c>
      <c r="R3" s="18">
        <v>1640</v>
      </c>
      <c r="S3" s="20">
        <v>2.2448839915132433E-2</v>
      </c>
    </row>
    <row r="4" spans="1:19" x14ac:dyDescent="0.25">
      <c r="A4" s="17" t="s">
        <v>39</v>
      </c>
      <c r="B4" s="18">
        <v>19000</v>
      </c>
      <c r="C4" s="18">
        <v>17463</v>
      </c>
      <c r="D4" s="19">
        <v>0.91910526315789476</v>
      </c>
      <c r="J4" s="16" t="s">
        <v>85</v>
      </c>
      <c r="K4" s="40">
        <v>221800</v>
      </c>
      <c r="P4" s="16" t="s">
        <v>49</v>
      </c>
      <c r="Q4" s="18">
        <v>60089</v>
      </c>
      <c r="R4" s="18">
        <v>1487</v>
      </c>
      <c r="S4" s="20">
        <v>2.4746625838339795E-2</v>
      </c>
    </row>
    <row r="5" spans="1:19" x14ac:dyDescent="0.25">
      <c r="A5" s="17" t="s">
        <v>49</v>
      </c>
      <c r="B5" s="18">
        <v>17000</v>
      </c>
      <c r="C5" s="18">
        <v>15142</v>
      </c>
      <c r="D5" s="19">
        <v>0.89070588235294113</v>
      </c>
      <c r="J5" s="16" t="s">
        <v>66</v>
      </c>
      <c r="K5" s="40">
        <v>203321</v>
      </c>
      <c r="M5" s="15" t="s">
        <v>64</v>
      </c>
      <c r="N5" t="s">
        <v>75</v>
      </c>
      <c r="P5" s="16" t="s">
        <v>65</v>
      </c>
      <c r="Q5" s="18">
        <v>203321</v>
      </c>
      <c r="R5" s="18">
        <v>4934</v>
      </c>
      <c r="S5" s="20">
        <v>2.4267045706051024E-2</v>
      </c>
    </row>
    <row r="6" spans="1:19" x14ac:dyDescent="0.25">
      <c r="A6" s="16" t="s">
        <v>60</v>
      </c>
      <c r="B6" s="18">
        <v>48700</v>
      </c>
      <c r="C6" s="18">
        <v>44790</v>
      </c>
      <c r="D6" s="19">
        <v>0.91971252566735118</v>
      </c>
      <c r="J6" s="16" t="s">
        <v>75</v>
      </c>
      <c r="K6" s="40">
        <v>4934</v>
      </c>
      <c r="M6" s="16" t="s">
        <v>46</v>
      </c>
      <c r="N6" s="18">
        <v>389</v>
      </c>
    </row>
    <row r="7" spans="1:19" x14ac:dyDescent="0.25">
      <c r="A7" s="17" t="s">
        <v>57</v>
      </c>
      <c r="B7" s="18">
        <v>10600</v>
      </c>
      <c r="C7" s="18">
        <v>9730</v>
      </c>
      <c r="D7" s="19">
        <v>0.91792452830188676</v>
      </c>
      <c r="J7" s="16" t="s">
        <v>87</v>
      </c>
      <c r="K7" s="19">
        <v>0.91703867403314887</v>
      </c>
      <c r="M7" s="16" t="s">
        <v>59</v>
      </c>
      <c r="N7" s="18">
        <v>1127</v>
      </c>
    </row>
    <row r="8" spans="1:19" x14ac:dyDescent="0.25">
      <c r="A8" s="17" t="s">
        <v>39</v>
      </c>
      <c r="B8" s="18">
        <v>18800</v>
      </c>
      <c r="C8" s="18">
        <v>17378</v>
      </c>
      <c r="D8" s="19">
        <v>0.92436170212765956</v>
      </c>
      <c r="J8" s="16" t="s">
        <v>88</v>
      </c>
      <c r="K8" s="20">
        <v>2.5122187640202777E-2</v>
      </c>
      <c r="M8" s="16" t="s">
        <v>41</v>
      </c>
      <c r="N8" s="18">
        <v>1642</v>
      </c>
    </row>
    <row r="9" spans="1:19" x14ac:dyDescent="0.25">
      <c r="A9" s="17" t="s">
        <v>49</v>
      </c>
      <c r="B9" s="18">
        <v>19300</v>
      </c>
      <c r="C9" s="18">
        <v>17682</v>
      </c>
      <c r="D9" s="19">
        <v>0.91616580310880824</v>
      </c>
      <c r="M9" s="16" t="s">
        <v>62</v>
      </c>
      <c r="N9" s="18">
        <v>475</v>
      </c>
    </row>
    <row r="10" spans="1:19" x14ac:dyDescent="0.25">
      <c r="A10" s="16" t="s">
        <v>53</v>
      </c>
      <c r="B10" s="18">
        <v>62100</v>
      </c>
      <c r="C10" s="18">
        <v>57211</v>
      </c>
      <c r="D10" s="19">
        <v>0.92127214170692429</v>
      </c>
      <c r="M10" s="16" t="s">
        <v>55</v>
      </c>
      <c r="N10" s="18">
        <v>699</v>
      </c>
    </row>
    <row r="11" spans="1:19" x14ac:dyDescent="0.25">
      <c r="A11" s="17" t="s">
        <v>57</v>
      </c>
      <c r="B11" s="18">
        <v>30600</v>
      </c>
      <c r="C11" s="18">
        <v>27978</v>
      </c>
      <c r="D11" s="19">
        <v>0.91431372549019607</v>
      </c>
      <c r="J11" s="15" t="s">
        <v>64</v>
      </c>
      <c r="K11" t="s">
        <v>89</v>
      </c>
      <c r="M11" s="16" t="s">
        <v>51</v>
      </c>
      <c r="N11" s="18">
        <v>602</v>
      </c>
    </row>
    <row r="12" spans="1:19" x14ac:dyDescent="0.25">
      <c r="A12" s="17" t="s">
        <v>39</v>
      </c>
      <c r="B12" s="18">
        <v>19500</v>
      </c>
      <c r="C12" s="18">
        <v>18136</v>
      </c>
      <c r="D12" s="19">
        <v>0.93005128205128207</v>
      </c>
      <c r="J12" s="16" t="s">
        <v>53</v>
      </c>
      <c r="K12" s="28">
        <v>92.127214170692426</v>
      </c>
    </row>
    <row r="13" spans="1:19" x14ac:dyDescent="0.25">
      <c r="A13" s="17" t="s">
        <v>49</v>
      </c>
      <c r="B13" s="18">
        <v>12000</v>
      </c>
      <c r="C13" s="18">
        <v>11097</v>
      </c>
      <c r="D13" s="19">
        <v>0.92474999999999996</v>
      </c>
      <c r="J13" s="16" t="s">
        <v>60</v>
      </c>
      <c r="K13" s="28">
        <v>91.971252566735117</v>
      </c>
      <c r="M13" s="18">
        <f>MAX(N6:N11)</f>
        <v>1642</v>
      </c>
      <c r="N13" t="str">
        <f>_xlfn.XLOOKUP(MAX(N6:N11),N6:N11,M6:M11)</f>
        <v>Inadequate primer application / Low pressing temperature</v>
      </c>
    </row>
    <row r="14" spans="1:19" x14ac:dyDescent="0.25">
      <c r="A14" s="16" t="s">
        <v>44</v>
      </c>
      <c r="B14" s="18">
        <v>59200</v>
      </c>
      <c r="C14" s="18">
        <v>54293</v>
      </c>
      <c r="D14" s="19">
        <v>0.91711148648648644</v>
      </c>
      <c r="J14" s="16" t="s">
        <v>44</v>
      </c>
      <c r="K14" s="28">
        <v>91.711148648648646</v>
      </c>
    </row>
    <row r="15" spans="1:19" x14ac:dyDescent="0.25">
      <c r="A15" s="17" t="s">
        <v>57</v>
      </c>
      <c r="B15" s="18">
        <v>19700</v>
      </c>
      <c r="C15" s="18">
        <v>18047</v>
      </c>
      <c r="D15" s="19">
        <v>0.91609137055837564</v>
      </c>
      <c r="J15" s="16" t="s">
        <v>38</v>
      </c>
      <c r="K15" s="28">
        <v>90.785714285714292</v>
      </c>
    </row>
    <row r="16" spans="1:19" x14ac:dyDescent="0.25">
      <c r="A16" s="17" t="s">
        <v>39</v>
      </c>
      <c r="B16" s="18">
        <v>21900</v>
      </c>
      <c r="C16" s="18">
        <v>20078</v>
      </c>
      <c r="D16" s="19">
        <v>0.91680365296803656</v>
      </c>
      <c r="J16" s="16" t="s">
        <v>65</v>
      </c>
      <c r="K16" s="28">
        <v>91.668620378719567</v>
      </c>
      <c r="M16" s="15" t="s">
        <v>64</v>
      </c>
      <c r="N16" t="s">
        <v>76</v>
      </c>
    </row>
    <row r="17" spans="1:14" x14ac:dyDescent="0.25">
      <c r="A17" s="17" t="s">
        <v>49</v>
      </c>
      <c r="B17" s="18">
        <v>17600</v>
      </c>
      <c r="C17" s="18">
        <v>16168</v>
      </c>
      <c r="D17" s="19">
        <v>0.91863636363636358</v>
      </c>
      <c r="J17" s="28">
        <f>MAX(K12:K15)</f>
        <v>92.127214170692426</v>
      </c>
      <c r="K17" t="str">
        <f>_xlfn.XLOOKUP(MAX(K12:K15),K12:K15,J12:J15)</f>
        <v>Line C - Assembly</v>
      </c>
      <c r="M17" s="16" t="s">
        <v>48</v>
      </c>
      <c r="N17" s="41">
        <v>127</v>
      </c>
    </row>
    <row r="18" spans="1:14" x14ac:dyDescent="0.25">
      <c r="A18" s="16" t="s">
        <v>65</v>
      </c>
      <c r="B18" s="18">
        <v>221800</v>
      </c>
      <c r="C18" s="18">
        <v>203321</v>
      </c>
      <c r="D18" s="19">
        <v>0.91668620378719567</v>
      </c>
      <c r="M18" s="16" t="s">
        <v>43</v>
      </c>
      <c r="N18" s="41">
        <v>33</v>
      </c>
    </row>
    <row r="19" spans="1:14" x14ac:dyDescent="0.25">
      <c r="D19" s="19">
        <f>GETPIVOTDATA("Sum of Target %",$A$1)</f>
        <v>0.91668620378719567</v>
      </c>
      <c r="J19" s="15" t="s">
        <v>64</v>
      </c>
      <c r="M19" s="16" t="s">
        <v>56</v>
      </c>
      <c r="N19" s="41">
        <v>21</v>
      </c>
    </row>
    <row r="20" spans="1:14" x14ac:dyDescent="0.25">
      <c r="J20" s="16" t="s">
        <v>58</v>
      </c>
      <c r="M20" s="16" t="s">
        <v>65</v>
      </c>
      <c r="N20" s="41">
        <v>181</v>
      </c>
    </row>
    <row r="21" spans="1:14" x14ac:dyDescent="0.25">
      <c r="J21" s="17" t="s">
        <v>59</v>
      </c>
    </row>
    <row r="22" spans="1:14" x14ac:dyDescent="0.25">
      <c r="A22" s="15" t="s">
        <v>64</v>
      </c>
      <c r="B22" t="s">
        <v>75</v>
      </c>
      <c r="G22" s="15" t="s">
        <v>64</v>
      </c>
      <c r="H22" t="s">
        <v>76</v>
      </c>
      <c r="J22" s="16" t="s">
        <v>61</v>
      </c>
    </row>
    <row r="23" spans="1:14" x14ac:dyDescent="0.25">
      <c r="A23" s="16" t="s">
        <v>40</v>
      </c>
      <c r="B23" s="18">
        <v>1642</v>
      </c>
      <c r="G23" s="16" t="s">
        <v>42</v>
      </c>
      <c r="H23" s="41">
        <v>41</v>
      </c>
      <c r="J23" s="17" t="s">
        <v>62</v>
      </c>
    </row>
    <row r="24" spans="1:14" x14ac:dyDescent="0.25">
      <c r="A24" s="16" t="s">
        <v>58</v>
      </c>
      <c r="B24" s="18">
        <v>1127</v>
      </c>
      <c r="G24" s="16" t="s">
        <v>63</v>
      </c>
      <c r="H24" s="41">
        <v>48</v>
      </c>
      <c r="J24" s="16" t="s">
        <v>50</v>
      </c>
    </row>
    <row r="25" spans="1:14" x14ac:dyDescent="0.25">
      <c r="A25" s="16" t="s">
        <v>54</v>
      </c>
      <c r="B25" s="18">
        <v>699</v>
      </c>
      <c r="G25" s="16" t="s">
        <v>47</v>
      </c>
      <c r="H25" s="41">
        <v>51</v>
      </c>
      <c r="J25" s="17" t="s">
        <v>51</v>
      </c>
    </row>
    <row r="26" spans="1:14" x14ac:dyDescent="0.25">
      <c r="A26" s="16" t="s">
        <v>50</v>
      </c>
      <c r="B26" s="18">
        <v>602</v>
      </c>
      <c r="G26" s="16" t="s">
        <v>52</v>
      </c>
      <c r="H26" s="41">
        <v>41</v>
      </c>
      <c r="J26" s="16" t="s">
        <v>54</v>
      </c>
    </row>
    <row r="27" spans="1:14" x14ac:dyDescent="0.25">
      <c r="A27" s="16" t="s">
        <v>61</v>
      </c>
      <c r="B27" s="18">
        <v>475</v>
      </c>
      <c r="G27" s="16" t="s">
        <v>65</v>
      </c>
      <c r="H27" s="41">
        <v>181</v>
      </c>
      <c r="J27" s="17" t="s">
        <v>55</v>
      </c>
    </row>
    <row r="28" spans="1:14" x14ac:dyDescent="0.25">
      <c r="A28" s="16" t="s">
        <v>45</v>
      </c>
      <c r="B28" s="18">
        <v>389</v>
      </c>
      <c r="J28" s="16" t="s">
        <v>40</v>
      </c>
    </row>
    <row r="29" spans="1:14" x14ac:dyDescent="0.25">
      <c r="B29" s="18">
        <f>SUM(B23:B28)</f>
        <v>4934</v>
      </c>
      <c r="J29" s="17" t="s">
        <v>41</v>
      </c>
    </row>
    <row r="30" spans="1:14" x14ac:dyDescent="0.25">
      <c r="B30" s="18" t="e">
        <f>GETPIVOTDATA("Defect Qty (Pairs)",$A$22)</f>
        <v>#REF!</v>
      </c>
      <c r="J30" s="16" t="s">
        <v>45</v>
      </c>
    </row>
    <row r="31" spans="1:14" x14ac:dyDescent="0.25">
      <c r="A31" s="18">
        <f>MAX(B23:B28)</f>
        <v>1642</v>
      </c>
      <c r="B31" t="str">
        <f>_xlfn.XLOOKUP(MAX(B23:B28),B23:B28,A23:A28)</f>
        <v>Unbonding/Peeling</v>
      </c>
      <c r="J31" s="17" t="s">
        <v>46</v>
      </c>
    </row>
    <row r="32" spans="1:14" x14ac:dyDescent="0.25">
      <c r="J32" s="16" t="s">
        <v>65</v>
      </c>
    </row>
    <row r="35" spans="1:15" x14ac:dyDescent="0.25">
      <c r="F35" s="15" t="s">
        <v>27</v>
      </c>
      <c r="G35" t="s">
        <v>77</v>
      </c>
    </row>
    <row r="37" spans="1:15" x14ac:dyDescent="0.25">
      <c r="A37" s="15" t="s">
        <v>64</v>
      </c>
      <c r="B37" t="s">
        <v>66</v>
      </c>
      <c r="F37" s="15" t="s">
        <v>64</v>
      </c>
      <c r="G37" t="s">
        <v>78</v>
      </c>
      <c r="H37" t="s">
        <v>75</v>
      </c>
      <c r="I37" t="s">
        <v>115</v>
      </c>
    </row>
    <row r="38" spans="1:15" x14ac:dyDescent="0.25">
      <c r="A38" s="16" t="s">
        <v>67</v>
      </c>
      <c r="B38" s="18">
        <v>34499</v>
      </c>
      <c r="F38" s="16" t="s">
        <v>40</v>
      </c>
      <c r="G38" s="18">
        <v>1642</v>
      </c>
      <c r="H38" s="20">
        <v>0.33279286582894202</v>
      </c>
      <c r="I38" s="38">
        <v>0.8</v>
      </c>
      <c r="M38" s="29"/>
      <c r="N38" s="30"/>
      <c r="O38" s="31"/>
    </row>
    <row r="39" spans="1:15" x14ac:dyDescent="0.25">
      <c r="A39" s="16" t="s">
        <v>68</v>
      </c>
      <c r="B39" s="18">
        <v>33387</v>
      </c>
      <c r="F39" s="16" t="s">
        <v>58</v>
      </c>
      <c r="G39" s="18">
        <v>1127</v>
      </c>
      <c r="H39" s="20">
        <v>0.56120794487231451</v>
      </c>
      <c r="I39" s="38">
        <v>0.8</v>
      </c>
      <c r="M39" s="32"/>
      <c r="N39" s="33"/>
      <c r="O39" s="34"/>
    </row>
    <row r="40" spans="1:15" x14ac:dyDescent="0.25">
      <c r="A40" s="16" t="s">
        <v>69</v>
      </c>
      <c r="B40" s="18">
        <v>33963</v>
      </c>
      <c r="F40" s="16" t="s">
        <v>54</v>
      </c>
      <c r="G40" s="18">
        <v>699</v>
      </c>
      <c r="H40" s="20">
        <v>0.70287798946088365</v>
      </c>
      <c r="I40" s="38">
        <v>0.8</v>
      </c>
      <c r="M40" s="32"/>
      <c r="N40" s="33"/>
      <c r="O40" s="34"/>
    </row>
    <row r="41" spans="1:15" x14ac:dyDescent="0.25">
      <c r="A41" s="16" t="s">
        <v>70</v>
      </c>
      <c r="B41" s="18">
        <v>34165</v>
      </c>
      <c r="F41" s="16" t="s">
        <v>50</v>
      </c>
      <c r="G41" s="18">
        <v>602</v>
      </c>
      <c r="H41" s="20">
        <v>0.82488852857721928</v>
      </c>
      <c r="I41" s="38">
        <v>0.8</v>
      </c>
      <c r="M41" s="32"/>
      <c r="N41" s="33"/>
      <c r="O41" s="34"/>
    </row>
    <row r="42" spans="1:15" x14ac:dyDescent="0.25">
      <c r="A42" s="16" t="s">
        <v>71</v>
      </c>
      <c r="B42" s="18">
        <v>33925</v>
      </c>
      <c r="F42" s="16" t="s">
        <v>61</v>
      </c>
      <c r="G42" s="18">
        <v>475</v>
      </c>
      <c r="H42" s="20">
        <v>0.92115930279691938</v>
      </c>
      <c r="I42" s="38">
        <v>0.8</v>
      </c>
      <c r="M42" s="32"/>
      <c r="N42" s="33"/>
      <c r="O42" s="34"/>
    </row>
    <row r="43" spans="1:15" x14ac:dyDescent="0.25">
      <c r="A43" s="16" t="s">
        <v>72</v>
      </c>
      <c r="B43" s="18">
        <v>33382</v>
      </c>
      <c r="F43" s="16" t="s">
        <v>45</v>
      </c>
      <c r="G43" s="18">
        <v>389</v>
      </c>
      <c r="H43" s="20">
        <v>1</v>
      </c>
      <c r="I43" s="38">
        <v>0.8</v>
      </c>
      <c r="M43" s="32"/>
      <c r="N43" s="33"/>
      <c r="O43" s="34"/>
    </row>
    <row r="44" spans="1:15" x14ac:dyDescent="0.25">
      <c r="A44" s="16" t="s">
        <v>65</v>
      </c>
      <c r="B44" s="18">
        <v>203321</v>
      </c>
      <c r="F44" s="16" t="s">
        <v>65</v>
      </c>
      <c r="G44" s="18">
        <v>4934</v>
      </c>
      <c r="H44" s="20"/>
      <c r="M44" s="32"/>
      <c r="N44" s="33"/>
      <c r="O44" s="34"/>
    </row>
    <row r="45" spans="1:15" x14ac:dyDescent="0.25">
      <c r="M45" s="32"/>
      <c r="N45" s="33"/>
      <c r="O45" s="34"/>
    </row>
    <row r="46" spans="1:15" x14ac:dyDescent="0.25">
      <c r="M46" s="32"/>
      <c r="N46" s="33"/>
      <c r="O46" s="34"/>
    </row>
    <row r="47" spans="1:15" x14ac:dyDescent="0.25">
      <c r="M47" s="32"/>
      <c r="N47" s="33"/>
      <c r="O47" s="34"/>
    </row>
    <row r="48" spans="1:15" x14ac:dyDescent="0.25">
      <c r="M48" s="32"/>
      <c r="N48" s="33"/>
      <c r="O48" s="34"/>
    </row>
    <row r="49" spans="13:15" x14ac:dyDescent="0.25">
      <c r="M49" s="32"/>
      <c r="N49" s="33"/>
      <c r="O49" s="34"/>
    </row>
    <row r="50" spans="13:15" x14ac:dyDescent="0.25">
      <c r="M50" s="32"/>
      <c r="N50" s="33"/>
      <c r="O50" s="34"/>
    </row>
    <row r="51" spans="13:15" x14ac:dyDescent="0.25">
      <c r="M51" s="32"/>
      <c r="N51" s="33"/>
      <c r="O51" s="34"/>
    </row>
    <row r="52" spans="13:15" x14ac:dyDescent="0.25">
      <c r="M52" s="32"/>
      <c r="N52" s="33"/>
      <c r="O52" s="34"/>
    </row>
    <row r="53" spans="13:15" x14ac:dyDescent="0.25">
      <c r="M53" s="32"/>
      <c r="N53" s="33"/>
      <c r="O53" s="34"/>
    </row>
    <row r="54" spans="13:15" x14ac:dyDescent="0.25">
      <c r="M54" s="32"/>
      <c r="N54" s="33"/>
      <c r="O54" s="34"/>
    </row>
    <row r="55" spans="13:15" x14ac:dyDescent="0.25">
      <c r="M55" s="35"/>
      <c r="N55" s="36"/>
      <c r="O55" s="37"/>
    </row>
  </sheetData>
  <pageMargins left="0.7" right="0.7" top="0.75" bottom="0.75" header="0.3" footer="0.3"/>
  <drawing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CC57-613A-4152-BB06-52CBAD455DD1}">
  <sheetPr>
    <pageSetUpPr autoPageBreaks="0" fitToPage="1"/>
  </sheetPr>
  <dimension ref="A1:AD58"/>
  <sheetViews>
    <sheetView showGridLines="0" tabSelected="1" view="pageBreakPreview" zoomScale="57" zoomScaleNormal="69" zoomScaleSheetLayoutView="57" workbookViewId="0">
      <selection sqref="A1:AD56"/>
    </sheetView>
  </sheetViews>
  <sheetFormatPr defaultRowHeight="15" x14ac:dyDescent="0.25"/>
  <sheetData>
    <row r="1" spans="1:30" x14ac:dyDescent="0.25">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row>
    <row r="2" spans="1:30" x14ac:dyDescent="0.25">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row>
    <row r="3" spans="1:30" x14ac:dyDescent="0.25">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row>
    <row r="4" spans="1:30" x14ac:dyDescent="0.25">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row>
    <row r="5" spans="1:30" x14ac:dyDescent="0.25">
      <c r="A5" s="42"/>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row>
    <row r="6" spans="1:30" x14ac:dyDescent="0.25">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row>
    <row r="7" spans="1:30" x14ac:dyDescent="0.25">
      <c r="A7" s="42"/>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row>
    <row r="8" spans="1:30" x14ac:dyDescent="0.25">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row>
    <row r="9" spans="1:30" x14ac:dyDescent="0.25">
      <c r="A9" s="4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row>
    <row r="10" spans="1:30" x14ac:dyDescent="0.25">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row>
    <row r="11" spans="1:30" x14ac:dyDescent="0.25">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row>
    <row r="12" spans="1:30" x14ac:dyDescent="0.25">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row>
    <row r="13" spans="1:30" x14ac:dyDescent="0.25">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row>
    <row r="14" spans="1:30" x14ac:dyDescent="0.25">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row>
    <row r="15" spans="1:30" x14ac:dyDescent="0.2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row>
    <row r="16" spans="1:30" x14ac:dyDescent="0.25">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row>
    <row r="17" spans="1:30" x14ac:dyDescent="0.25">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row>
    <row r="18" spans="1:30" x14ac:dyDescent="0.25">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row>
    <row r="19" spans="1:30" x14ac:dyDescent="0.25">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row>
    <row r="20" spans="1:30" x14ac:dyDescent="0.25">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row>
    <row r="21" spans="1:30" x14ac:dyDescent="0.25">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row>
    <row r="22" spans="1:30" x14ac:dyDescent="0.25">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row>
    <row r="23" spans="1:30" x14ac:dyDescent="0.25">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row>
    <row r="24" spans="1:30" x14ac:dyDescent="0.25">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row>
    <row r="25" spans="1:30" x14ac:dyDescent="0.2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row>
    <row r="26" spans="1:30" x14ac:dyDescent="0.25">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row>
    <row r="27" spans="1:30" x14ac:dyDescent="0.25">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row>
    <row r="28" spans="1:30" x14ac:dyDescent="0.25">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row>
    <row r="29" spans="1:30" x14ac:dyDescent="0.25">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row>
    <row r="30" spans="1:30" x14ac:dyDescent="0.25">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row>
    <row r="31" spans="1:30" x14ac:dyDescent="0.25">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row>
    <row r="32" spans="1:30" x14ac:dyDescent="0.25">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row>
    <row r="33" spans="1:30" x14ac:dyDescent="0.25">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row>
    <row r="34" spans="1:30" x14ac:dyDescent="0.25">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row>
    <row r="35" spans="1:30" x14ac:dyDescent="0.2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row>
    <row r="36" spans="1:30" x14ac:dyDescent="0.25">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row>
    <row r="37" spans="1:30" x14ac:dyDescent="0.25">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row>
    <row r="38" spans="1:30" x14ac:dyDescent="0.25">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row>
    <row r="39" spans="1:30" x14ac:dyDescent="0.25">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row>
    <row r="40" spans="1:30" x14ac:dyDescent="0.25">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row>
    <row r="41" spans="1:30" x14ac:dyDescent="0.25">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row>
    <row r="42" spans="1:30" x14ac:dyDescent="0.25">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row>
    <row r="43" spans="1:30" x14ac:dyDescent="0.25">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row>
    <row r="44" spans="1:30" x14ac:dyDescent="0.25">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row>
    <row r="45" spans="1:30" x14ac:dyDescent="0.2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row>
    <row r="46" spans="1:30" x14ac:dyDescent="0.25">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row>
    <row r="47" spans="1:30" x14ac:dyDescent="0.25">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row>
    <row r="48" spans="1:30" x14ac:dyDescent="0.25">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row>
    <row r="49" spans="1:30" x14ac:dyDescent="0.25">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row>
    <row r="50" spans="1:30" x14ac:dyDescent="0.25">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row>
    <row r="51" spans="1:30" x14ac:dyDescent="0.25">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row>
    <row r="52" spans="1:30" x14ac:dyDescent="0.25">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row>
    <row r="53" spans="1:30"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row>
    <row r="54" spans="1:30" x14ac:dyDescent="0.25">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row>
    <row r="55" spans="1:30" x14ac:dyDescent="0.2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row>
    <row r="56" spans="1:30" x14ac:dyDescent="0.25">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row>
    <row r="57" spans="1:30" x14ac:dyDescent="0.25">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row>
    <row r="58" spans="1:30" x14ac:dyDescent="0.25">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row>
  </sheetData>
  <pageMargins left="0.7" right="0.7" top="0.75" bottom="0.75" header="0.3" footer="0.3"/>
  <pageSetup paperSize="8" scale="70"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Project Brief &amp; Guide</vt:lpstr>
      <vt:lpstr>Production Data Tracking</vt:lpstr>
      <vt:lpstr>Detail1</vt:lpstr>
      <vt:lpstr>Detail2</vt:lpstr>
      <vt:lpstr>Detail3</vt:lpstr>
      <vt:lpstr>Detail4</vt:lpstr>
      <vt:lpstr>Pivot</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yuwana luvi</cp:lastModifiedBy>
  <cp:lastPrinted>2026-07-10T05:13:33Z</cp:lastPrinted>
  <dcterms:created xsi:type="dcterms:W3CDTF">2026-06-15T07:45:22Z</dcterms:created>
  <dcterms:modified xsi:type="dcterms:W3CDTF">2026-07-10T05:20:59Z</dcterms:modified>
</cp:coreProperties>
</file>